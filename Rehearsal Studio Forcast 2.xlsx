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Year Forecast" sheetId="1" r:id="rId5"/>
    <sheet state="visible" name="36 Month Forecast" sheetId="2" r:id="rId6"/>
    <sheet state="visible" name="36 Month Wages" sheetId="3" r:id="rId7"/>
    <sheet state="visible" name="36 Month Capital Expenditures" sheetId="4" r:id="rId8"/>
  </sheets>
  <definedNames/>
  <calcPr/>
</workbook>
</file>

<file path=xl/sharedStrings.xml><?xml version="1.0" encoding="utf-8"?>
<sst xmlns="http://schemas.openxmlformats.org/spreadsheetml/2006/main" count="240" uniqueCount="133">
  <si>
    <t>300 Month Capital Expenditures Forecast</t>
  </si>
  <si>
    <t>36 Month Wages Forecast</t>
  </si>
  <si>
    <t>36 Month Revenue Forecast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</si>
  <si>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</si>
  <si>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</si>
  <si>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</si>
  <si>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</si>
  <si>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</si>
  <si>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</si>
  <si>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</si>
  <si>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</si>
  <si>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</si>
  <si>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</si>
  <si>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</si>
  <si>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</si>
  <si>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</si>
  <si>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</si>
  <si>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</si>
  <si>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</si>
  <si>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</si>
  <si>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</si>
  <si>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</si>
  <si>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</si>
  <si>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</si>
  <si>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</si>
  <si>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</si>
  <si>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</si>
  <si>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</si>
  <si>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</si>
  <si>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</si>
  <si>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</si>
  <si>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</si>
  <si>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</si>
  <si>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</si>
  <si>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</si>
  <si>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</si>
  <si>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</si>
  <si>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</si>
  <si>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</si>
  <si>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Total</t>
  </si>
  <si>
    <t>Assumptions:</t>
  </si>
  <si>
    <t>Revenue:</t>
  </si>
  <si>
    <t>Assumptions</t>
  </si>
  <si>
    <t>Equipment</t>
  </si>
  <si>
    <t>Employee 1: Dave Brogan</t>
  </si>
  <si>
    <t>COGS/Revenue</t>
  </si>
  <si>
    <t>Hourly Salary</t>
  </si>
  <si>
    <t>Average Monthly Rent</t>
  </si>
  <si>
    <t>Hours</t>
  </si>
  <si>
    <t>Improvements</t>
  </si>
  <si>
    <t>Number Of Units Rented (35 total)</t>
  </si>
  <si>
    <t>Employee 1</t>
  </si>
  <si>
    <t>Wages</t>
  </si>
  <si>
    <t>Building</t>
  </si>
  <si>
    <t>Loan:</t>
  </si>
  <si>
    <t>Proceeds</t>
  </si>
  <si>
    <t>Employee 2</t>
  </si>
  <si>
    <t>Interest Rate</t>
  </si>
  <si>
    <t>Total Revenue</t>
  </si>
  <si>
    <t>Other</t>
  </si>
  <si>
    <t>Employee 3</t>
  </si>
  <si>
    <t>Employee 2:</t>
  </si>
  <si>
    <t>Term (months)</t>
  </si>
  <si>
    <t>Employee 4</t>
  </si>
  <si>
    <t>COGS</t>
  </si>
  <si>
    <t>Employee 5</t>
  </si>
  <si>
    <t>Total Capital Expenditures</t>
  </si>
  <si>
    <t>Gross Income</t>
  </si>
  <si>
    <t>Employee 6</t>
  </si>
  <si>
    <t>Depreciation Expense</t>
  </si>
  <si>
    <t>Employee 7</t>
  </si>
  <si>
    <t>Employee 3:</t>
  </si>
  <si>
    <t>Marketing Expenses:</t>
  </si>
  <si>
    <t>5 Year Revenue Forecast</t>
  </si>
  <si>
    <t>Employee 8</t>
  </si>
  <si>
    <t>Year 1</t>
  </si>
  <si>
    <t>Year 2</t>
  </si>
  <si>
    <t>Postcards</t>
  </si>
  <si>
    <t>Year 3</t>
  </si>
  <si>
    <t>Year 4</t>
  </si>
  <si>
    <t>Year 5</t>
  </si>
  <si>
    <t>Employee 9</t>
  </si>
  <si>
    <t>Revenue</t>
  </si>
  <si>
    <t>Search</t>
  </si>
  <si>
    <t>Social</t>
  </si>
  <si>
    <t>Employee 10</t>
  </si>
  <si>
    <t>Employee 11</t>
  </si>
  <si>
    <t>Employee 4:</t>
  </si>
  <si>
    <t>Misc.</t>
  </si>
  <si>
    <t>Employee 12</t>
  </si>
  <si>
    <t>Expenses:</t>
  </si>
  <si>
    <t>Marketing Expenses</t>
  </si>
  <si>
    <t>Total Marketing Expenses</t>
  </si>
  <si>
    <t>Operating Expenses</t>
  </si>
  <si>
    <t>Total Expenses</t>
  </si>
  <si>
    <t>Net Income</t>
  </si>
  <si>
    <t>Employee 5:</t>
  </si>
  <si>
    <t>Operating Expenses:</t>
  </si>
  <si>
    <t>Year Over Year Growth</t>
  </si>
  <si>
    <t>Accounting</t>
  </si>
  <si>
    <t>Custodial</t>
  </si>
  <si>
    <t>Depreciation</t>
  </si>
  <si>
    <t>Employee 6:</t>
  </si>
  <si>
    <t>Gas</t>
  </si>
  <si>
    <t>Insurance</t>
  </si>
  <si>
    <t>Employee 7:</t>
  </si>
  <si>
    <t>Interest</t>
  </si>
  <si>
    <t>IT</t>
  </si>
  <si>
    <t>Office Supplies</t>
  </si>
  <si>
    <t>Employee 8:</t>
  </si>
  <si>
    <t>Professional Services (Attorney, agents,etc.)</t>
  </si>
  <si>
    <t>Rent</t>
  </si>
  <si>
    <t>Repars and Maintenance</t>
  </si>
  <si>
    <t>Shipping</t>
  </si>
  <si>
    <t>Taxes and Licenses (Property Tax)</t>
  </si>
  <si>
    <t>Employee 9:</t>
  </si>
  <si>
    <t>Utilities</t>
  </si>
  <si>
    <t>Wages - Payroll Taxes</t>
  </si>
  <si>
    <t>Employee 10:</t>
  </si>
  <si>
    <t>Total Operating Expenses</t>
  </si>
  <si>
    <t>Employee 11:</t>
  </si>
  <si>
    <t>Employee 12:</t>
  </si>
  <si>
    <t>Cash Flow Forecast:</t>
  </si>
  <si>
    <t>Beginning Cash</t>
  </si>
  <si>
    <t>Total Wages Expenditures</t>
  </si>
  <si>
    <t>Plus Owner Investment</t>
  </si>
  <si>
    <t>Plus Loan Proceeds</t>
  </si>
  <si>
    <t>Plus Net Income</t>
  </si>
  <si>
    <t>Plus Depreciation</t>
  </si>
  <si>
    <t>Less Capital Expenditures</t>
  </si>
  <si>
    <t>Less Loan Servicing</t>
  </si>
  <si>
    <t>Less Owner Withdrawals</t>
  </si>
  <si>
    <t>Ending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</si>
</sst>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_(* #,##0.00_);_(* \(#,##0.00\);_(* &quot;-&quot;??_);_(@_)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3" numFmtId="0" xfId="0" applyBorder="1" applyFont="1"/>
    <xf borderId="3" fillId="2" fontId="4" numFmtId="0" xfId="0" applyBorder="1" applyFont="1"/>
    <xf borderId="3" fillId="2" fontId="3" numFmtId="0" xfId="0" applyBorder="1" applyFont="1"/>
    <xf borderId="4" fillId="2" fontId="4" numFmtId="0" xfId="0" applyBorder="1" applyFont="1"/>
    <xf borderId="5" fillId="2" fontId="4" numFmtId="0" xfId="0" applyBorder="1" applyFont="1"/>
    <xf borderId="4" fillId="2" fontId="3" numFmtId="0" xfId="0" applyBorder="1" applyFont="1"/>
    <xf borderId="2" fillId="2" fontId="4" numFmtId="0" xfId="0" applyBorder="1" applyFont="1"/>
    <xf borderId="1" fillId="2" fontId="3" numFmtId="0" xfId="0" applyBorder="1" applyFont="1"/>
    <xf borderId="6" fillId="2" fontId="4" numFmtId="0" xfId="0" applyBorder="1" applyFont="1"/>
    <xf borderId="7" fillId="2" fontId="3" numFmtId="0" xfId="0" applyBorder="1" applyFont="1"/>
    <xf borderId="6" fillId="2" fontId="3" numFmtId="0" xfId="0" applyBorder="1" applyFont="1"/>
    <xf borderId="5" fillId="2" fontId="3" numFmtId="0" xfId="0" applyBorder="1" applyFont="1"/>
    <xf borderId="0" fillId="0" fontId="3" numFmtId="0" xfId="0" applyFont="1"/>
    <xf borderId="8" fillId="2" fontId="4" numFmtId="0" xfId="0" applyBorder="1" applyFont="1"/>
    <xf borderId="9" fillId="2" fontId="2" numFmtId="0" xfId="0" applyBorder="1" applyFont="1"/>
    <xf borderId="10" fillId="2" fontId="4" numFmtId="0" xfId="0" applyBorder="1" applyFont="1"/>
    <xf borderId="1" fillId="2" fontId="4" numFmtId="0" xfId="0" applyBorder="1" applyFont="1"/>
    <xf borderId="8" fillId="2" fontId="3" numFmtId="0" xfId="0" applyBorder="1" applyFont="1"/>
    <xf borderId="9" fillId="2" fontId="5" numFmtId="0" xfId="0" applyBorder="1" applyFont="1"/>
    <xf borderId="7" fillId="2" fontId="3" numFmtId="0" xfId="0" applyAlignment="1" applyBorder="1" applyFont="1">
      <alignment horizontal="left"/>
    </xf>
    <xf borderId="10" fillId="2" fontId="3" numFmtId="0" xfId="0" applyBorder="1" applyFont="1"/>
    <xf borderId="2" fillId="3" fontId="3" numFmtId="164" xfId="0" applyBorder="1" applyFill="1" applyFont="1" applyNumberFormat="1"/>
    <xf borderId="5" fillId="2" fontId="3" numFmtId="0" xfId="0" applyAlignment="1" applyBorder="1" applyFont="1">
      <alignment horizontal="left"/>
    </xf>
    <xf borderId="3" fillId="3" fontId="3" numFmtId="164" xfId="0" applyBorder="1" applyFont="1" applyNumberFormat="1"/>
    <xf borderId="2" fillId="2" fontId="4" numFmtId="0" xfId="0" applyAlignment="1" applyBorder="1" applyFont="1">
      <alignment horizontal="left"/>
    </xf>
    <xf borderId="4" fillId="3" fontId="4" numFmtId="10" xfId="0" applyBorder="1" applyFont="1" applyNumberFormat="1"/>
    <xf borderId="4" fillId="3" fontId="3" numFmtId="165" xfId="0" applyBorder="1" applyFont="1" applyNumberFormat="1"/>
    <xf borderId="7" fillId="2" fontId="4" numFmtId="0" xfId="0" applyAlignment="1" applyBorder="1" applyFont="1">
      <alignment horizontal="left"/>
    </xf>
    <xf borderId="6" fillId="3" fontId="4" numFmtId="165" xfId="0" applyBorder="1" applyFont="1" applyNumberFormat="1"/>
    <xf borderId="6" fillId="3" fontId="3" numFmtId="166" xfId="0" applyBorder="1" applyFont="1" applyNumberFormat="1"/>
    <xf borderId="4" fillId="3" fontId="3" numFmtId="16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3" numFmtId="166" xfId="0" applyBorder="1" applyFont="1" applyNumberFormat="1"/>
    <xf borderId="7" fillId="2" fontId="3" numFmtId="164" xfId="0" applyBorder="1" applyFont="1" applyNumberFormat="1"/>
    <xf borderId="6" fillId="3" fontId="3" numFmtId="164" xfId="0" applyAlignment="1" applyBorder="1" applyFont="1" applyNumberFormat="1">
      <alignment readingOrder="0"/>
    </xf>
    <xf borderId="5" fillId="3" fontId="3" numFmtId="166" xfId="0" applyAlignment="1" applyBorder="1" applyFont="1" applyNumberFormat="1">
      <alignment readingOrder="0"/>
    </xf>
    <xf borderId="5" fillId="3" fontId="3" numFmtId="164" xfId="0" applyBorder="1" applyFont="1" applyNumberFormat="1"/>
    <xf borderId="7" fillId="2" fontId="4" numFmtId="165" xfId="0" applyBorder="1" applyFont="1" applyNumberFormat="1"/>
    <xf borderId="6" fillId="2" fontId="4" numFmtId="0" xfId="0" applyAlignment="1" applyBorder="1" applyFont="1">
      <alignment horizontal="left"/>
    </xf>
    <xf borderId="8" fillId="2" fontId="4" numFmtId="10" xfId="0" applyBorder="1" applyFont="1" applyNumberFormat="1"/>
    <xf borderId="7" fillId="2" fontId="4" numFmtId="0" xfId="0" applyAlignment="1" applyBorder="1" applyFont="1">
      <alignment horizontal="left" shrinkToFit="0" wrapText="1"/>
    </xf>
    <xf borderId="6" fillId="3" fontId="4" numFmtId="167" xfId="0" applyBorder="1" applyFont="1" applyNumberFormat="1"/>
    <xf borderId="5" fillId="3" fontId="4" numFmtId="167" xfId="0" applyBorder="1" applyFont="1" applyNumberFormat="1"/>
    <xf borderId="5" fillId="3" fontId="4" numFmtId="167" xfId="0" applyAlignment="1" applyBorder="1" applyFont="1" applyNumberFormat="1">
      <alignment readingOrder="0"/>
    </xf>
    <xf borderId="7" fillId="2" fontId="3" numFmtId="166" xfId="0" applyBorder="1" applyFont="1" applyNumberFormat="1"/>
    <xf borderId="6" fillId="4" fontId="3" numFmtId="0" xfId="0" applyAlignment="1" applyBorder="1" applyFill="1" applyFont="1">
      <alignment horizontal="left"/>
    </xf>
    <xf borderId="8" fillId="3" fontId="3" numFmtId="164" xfId="0" applyBorder="1" applyFont="1" applyNumberFormat="1"/>
    <xf borderId="8" fillId="3" fontId="3" numFmtId="165" xfId="0" applyAlignment="1" applyBorder="1" applyFont="1" applyNumberFormat="1">
      <alignment readingOrder="0"/>
    </xf>
    <xf borderId="6" fillId="2" fontId="3" numFmtId="164" xfId="0" applyBorder="1" applyFont="1" applyNumberFormat="1"/>
    <xf borderId="5" fillId="2" fontId="3" numFmtId="164" xfId="0" applyBorder="1" applyFont="1" applyNumberFormat="1"/>
    <xf borderId="8" fillId="3" fontId="4" numFmtId="167" xfId="0" applyBorder="1" applyFont="1" applyNumberFormat="1"/>
    <xf borderId="7" fillId="2" fontId="4" numFmtId="167" xfId="0" applyBorder="1" applyFont="1" applyNumberFormat="1"/>
    <xf borderId="6" fillId="3" fontId="3" numFmtId="164" xfId="0" applyBorder="1" applyFont="1" applyNumberFormat="1"/>
    <xf borderId="8" fillId="3" fontId="4" numFmtId="164" xfId="0" applyAlignment="1" applyBorder="1" applyFont="1" applyNumberFormat="1">
      <alignment readingOrder="0"/>
    </xf>
    <xf borderId="7" fillId="2" fontId="4" numFmtId="0" xfId="0" applyBorder="1" applyFont="1"/>
    <xf borderId="8" fillId="2" fontId="3" numFmtId="164" xfId="0" applyBorder="1" applyFont="1" applyNumberFormat="1"/>
    <xf borderId="8" fillId="3" fontId="3" numFmtId="165" xfId="0" applyBorder="1" applyFont="1" applyNumberFormat="1"/>
    <xf borderId="8" fillId="3" fontId="4" numFmtId="10" xfId="0" applyBorder="1" applyFont="1" applyNumberFormat="1"/>
    <xf borderId="5" fillId="2" fontId="4" numFmtId="164" xfId="0" applyBorder="1" applyFont="1" applyNumberFormat="1"/>
    <xf borderId="6" fillId="2" fontId="3" numFmtId="0" xfId="0" applyAlignment="1" applyBorder="1" applyFont="1">
      <alignment horizontal="left"/>
    </xf>
    <xf borderId="7" fillId="2" fontId="4" numFmtId="164" xfId="0" applyBorder="1" applyFont="1" applyNumberFormat="1"/>
    <xf borderId="9" fillId="2" fontId="4" numFmtId="0" xfId="0" applyAlignment="1" applyBorder="1" applyFont="1">
      <alignment horizontal="left"/>
    </xf>
    <xf borderId="10" fillId="3" fontId="4" numFmtId="166" xfId="0" applyBorder="1" applyFont="1" applyNumberFormat="1"/>
    <xf borderId="6" fillId="2" fontId="4" numFmtId="164" xfId="0" applyBorder="1" applyFont="1" applyNumberFormat="1"/>
    <xf borderId="8" fillId="3" fontId="3" numFmtId="166" xfId="0" applyBorder="1" applyFont="1" applyNumberFormat="1"/>
    <xf borderId="8" fillId="2" fontId="4" numFmtId="164" xfId="0" applyBorder="1" applyFont="1" applyNumberFormat="1"/>
    <xf borderId="2" fillId="2" fontId="3" numFmtId="164" xfId="0" applyBorder="1" applyFont="1" applyNumberFormat="1"/>
    <xf borderId="3" fillId="2" fontId="3" numFmtId="164" xfId="0" applyBorder="1" applyFont="1" applyNumberFormat="1"/>
    <xf borderId="2" fillId="2" fontId="4" numFmtId="164" xfId="0" applyBorder="1" applyFont="1" applyNumberFormat="1"/>
    <xf borderId="3" fillId="2" fontId="4" numFmtId="164" xfId="0" applyBorder="1" applyFont="1" applyNumberFormat="1"/>
    <xf borderId="4" fillId="2" fontId="3" numFmtId="164" xfId="0" applyBorder="1" applyFont="1" applyNumberFormat="1"/>
    <xf borderId="1" fillId="2" fontId="3" numFmtId="164" xfId="0" applyBorder="1" applyFont="1" applyNumberFormat="1"/>
    <xf borderId="4" fillId="2" fontId="4" numFmtId="164" xfId="0" applyBorder="1" applyFont="1" applyNumberFormat="1"/>
    <xf borderId="11" fillId="2" fontId="3" numFmtId="0" xfId="0" applyBorder="1" applyFont="1"/>
    <xf borderId="1" fillId="2" fontId="4" numFmtId="164" xfId="0" applyBorder="1" applyFont="1" applyNumberFormat="1"/>
    <xf borderId="12" fillId="2" fontId="3" numFmtId="164" xfId="0" applyBorder="1" applyFont="1" applyNumberFormat="1"/>
    <xf borderId="11" fillId="2" fontId="3" numFmtId="164" xfId="0" applyBorder="1" applyFont="1" applyNumberFormat="1"/>
    <xf borderId="2" fillId="2" fontId="1" numFmtId="0" xfId="0" applyBorder="1" applyFont="1"/>
    <xf borderId="9" fillId="2" fontId="3" numFmtId="0" xfId="0" applyBorder="1" applyFont="1"/>
    <xf borderId="6" fillId="3" fontId="4" numFmtId="164" xfId="0" applyBorder="1" applyFont="1" applyNumberFormat="1"/>
    <xf borderId="5" fillId="3" fontId="4" numFmtId="164" xfId="0" applyBorder="1" applyFont="1" applyNumberFormat="1"/>
    <xf borderId="9" fillId="2" fontId="3" numFmtId="164" xfId="0" applyBorder="1" applyFont="1" applyNumberFormat="1"/>
    <xf borderId="13" fillId="2" fontId="3" numFmtId="164" xfId="0" applyBorder="1" applyFont="1" applyNumberFormat="1"/>
    <xf borderId="10" fillId="2" fontId="3" numFmtId="164" xfId="0" applyBorder="1" applyFont="1" applyNumberFormat="1"/>
    <xf borderId="5" fillId="3" fontId="4" numFmtId="165" xfId="0" applyBorder="1" applyFont="1" applyNumberFormat="1"/>
    <xf borderId="8" fillId="3" fontId="4" numFmtId="164" xfId="0" applyBorder="1" applyFont="1" applyNumberFormat="1"/>
    <xf borderId="0" fillId="0" fontId="3" numFmtId="0" xfId="0" applyAlignment="1" applyFont="1">
      <alignment readingOrder="0"/>
    </xf>
    <xf borderId="9" fillId="4" fontId="3" numFmtId="0" xfId="0" applyAlignment="1" applyBorder="1" applyFont="1">
      <alignment horizontal="left"/>
    </xf>
    <xf borderId="10" fillId="3" fontId="3" numFmtId="165" xfId="0" applyBorder="1" applyFont="1" applyNumberFormat="1"/>
    <xf borderId="1" fillId="2" fontId="3" numFmtId="0" xfId="0" applyAlignment="1" applyBorder="1" applyFont="1">
      <alignment horizontal="left"/>
    </xf>
    <xf borderId="14" fillId="2" fontId="3" numFmtId="0" xfId="0" applyBorder="1" applyFont="1"/>
    <xf borderId="15" fillId="2" fontId="3" numFmtId="164" xfId="0" applyBorder="1" applyFont="1" applyNumberFormat="1"/>
    <xf borderId="16" fillId="2" fontId="3" numFmtId="164" xfId="0" applyBorder="1" applyFont="1" applyNumberFormat="1"/>
    <xf borderId="17" fillId="2" fontId="3" numFmtId="164" xfId="0" applyBorder="1" applyFont="1" applyNumberFormat="1"/>
    <xf borderId="14" fillId="2" fontId="3" numFmtId="164" xfId="0" applyBorder="1" applyFont="1" applyNumberFormat="1"/>
    <xf borderId="12" fillId="2" fontId="3" numFmtId="0" xfId="0" applyBorder="1" applyFont="1"/>
    <xf borderId="18" fillId="2" fontId="3" numFmtId="9" xfId="0" applyBorder="1" applyFont="1" applyNumberFormat="1"/>
    <xf borderId="18" fillId="3" fontId="3" numFmtId="9" xfId="0" applyBorder="1" applyFont="1" applyNumberFormat="1"/>
    <xf borderId="19" fillId="3" fontId="3" numFmtId="9" xfId="0" applyBorder="1" applyFont="1" applyNumberFormat="1"/>
    <xf borderId="5" fillId="3" fontId="4" numFmtId="164" xfId="0" applyAlignment="1" applyBorder="1" applyFont="1" applyNumberFormat="1">
      <alignment readingOrder="0"/>
    </xf>
    <xf borderId="0" fillId="0" fontId="3" numFmtId="164" xfId="0" applyFont="1" applyNumberFormat="1"/>
    <xf borderId="1" fillId="2" fontId="4" numFmtId="0" xfId="0" applyAlignment="1" applyBorder="1" applyFont="1">
      <alignment horizontal="left"/>
    </xf>
    <xf borderId="6" fillId="2" fontId="3" numFmtId="165" xfId="0" applyBorder="1" applyFont="1" applyNumberFormat="1"/>
    <xf borderId="5" fillId="2" fontId="3" numFmtId="165" xfId="0" applyBorder="1" applyFont="1" applyNumberFormat="1"/>
    <xf borderId="8" fillId="2" fontId="3" numFmtId="165" xfId="0" applyBorder="1" applyFont="1" applyNumberFormat="1"/>
    <xf borderId="14" fillId="2" fontId="4" numFmtId="0" xfId="0" applyBorder="1" applyFont="1"/>
    <xf borderId="15" fillId="2" fontId="4" numFmtId="164" xfId="0" applyBorder="1" applyFont="1" applyNumberFormat="1"/>
    <xf borderId="16" fillId="2" fontId="4" numFmtId="164" xfId="0" applyBorder="1" applyFont="1" applyNumberFormat="1"/>
    <xf borderId="17" fillId="2" fontId="4" numFmtId="164" xfId="0" applyBorder="1" applyFont="1" applyNumberFormat="1"/>
    <xf borderId="14" fillId="2" fontId="4" numFmtId="164" xfId="0" applyBorder="1" applyFont="1" applyNumberFormat="1"/>
    <xf borderId="2" fillId="3" fontId="4" numFmtId="164" xfId="0" applyBorder="1" applyFont="1" applyNumberFormat="1"/>
    <xf borderId="18" fillId="2" fontId="3" numFmtId="164" xfId="0" applyBorder="1" applyFont="1" applyNumberFormat="1"/>
    <xf borderId="6" fillId="3" fontId="4" numFmtId="164" xfId="0" applyAlignment="1" applyBorder="1" applyFont="1" applyNumberFormat="1">
      <alignment readingOrder="0"/>
    </xf>
    <xf borderId="19" fillId="2" fontId="3" numFmtId="164" xfId="0" applyBorder="1" applyFont="1" applyNumberFormat="1"/>
    <xf borderId="11" fillId="2" fontId="4" numFmtId="0" xfId="0" applyBorder="1" applyFont="1"/>
    <xf borderId="12" fillId="2" fontId="4" numFmtId="164" xfId="0" applyBorder="1" applyFont="1" applyNumberFormat="1"/>
    <xf borderId="18" fillId="2" fontId="4" numFmtId="164" xfId="0" applyBorder="1" applyFont="1" applyNumberFormat="1"/>
    <xf borderId="19" fillId="2" fontId="4" numFmtId="164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 Year Forecast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Revenue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'5 Year Forecast'!$B$2:$F$2</c:f>
            </c:strRef>
          </c:cat>
          <c:val>
            <c:numRef>
              <c:f>'5 Year Forecast'!$B$3:$F$3</c:f>
              <c:numCache/>
            </c:numRef>
          </c:val>
          <c:smooth val="0"/>
        </c:ser>
        <c:ser>
          <c:idx val="1"/>
          <c:order val="1"/>
          <c:tx>
            <c:v>COGS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'5 Year Forecast'!$B$2:$F$2</c:f>
            </c:strRef>
          </c:cat>
          <c:val>
            <c:numRef>
              <c:f>'5 Year Forecast'!$B$4:$F$4</c:f>
              <c:numCache/>
            </c:numRef>
          </c:val>
          <c:smooth val="0"/>
        </c:ser>
        <c:ser>
          <c:idx val="2"/>
          <c:order val="2"/>
          <c:tx>
            <c:v>Total Expenses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'5 Year Forecast'!$B$2:$F$2</c:f>
            </c:strRef>
          </c:cat>
          <c:val>
            <c:numRef>
              <c:f>'5 Year Forecast'!$B$10:$F$10</c:f>
              <c:numCache/>
            </c:numRef>
          </c:val>
          <c:smooth val="0"/>
        </c:ser>
        <c:ser>
          <c:idx val="3"/>
          <c:order val="3"/>
          <c:tx>
            <c:v>Net Income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'5 Year Forecast'!$B$2:$F$2</c:f>
            </c:strRef>
          </c:cat>
          <c:val>
            <c:numRef>
              <c:f>'5 Year Forecast'!$B$12:$F$12</c:f>
              <c:numCache/>
            </c:numRef>
          </c:val>
          <c:smooth val="0"/>
        </c:ser>
        <c:axId val="1430937863"/>
        <c:axId val="1436347588"/>
      </c:lineChart>
      <c:catAx>
        <c:axId val="1430937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347588"/>
      </c:catAx>
      <c:valAx>
        <c:axId val="1436347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09378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 Year Revenue Forecast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'5 Year Forecast'!$B$1:$F$1</c:f>
            </c:strRef>
          </c:cat>
          <c:val>
            <c:numRef>
              <c:f>'5 Year Forecast'!$B$2:$F$2</c:f>
              <c:numCache/>
            </c:numRef>
          </c:val>
        </c:ser>
        <c:ser>
          <c:idx val="1"/>
          <c:order val="1"/>
          <c:tx>
            <c:v>COGS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'5 Year Forecast'!$B$1:$F$1</c:f>
            </c:strRef>
          </c:cat>
          <c:val>
            <c:numRef>
              <c:f>'5 Year Forecast'!$B$3:$F$3</c:f>
              <c:numCache/>
            </c:numRef>
          </c:val>
        </c:ser>
        <c:ser>
          <c:idx val="2"/>
          <c:order val="2"/>
          <c:tx>
            <c:v>Total Expenses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'5 Year Forecast'!$B$1:$F$1</c:f>
            </c:strRef>
          </c:cat>
          <c:val>
            <c:numRef>
              <c:f>'5 Year Forecast'!$B$4:$F$4</c:f>
              <c:numCache/>
            </c:numRef>
          </c:val>
        </c:ser>
        <c:ser>
          <c:idx val="3"/>
          <c:order val="3"/>
          <c:tx>
            <c:v>Net Income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'5 Year Forecast'!$B$1:$F$1</c:f>
            </c:strRef>
          </c:cat>
          <c:val>
            <c:numRef>
              <c:f>'5 Year Forecast'!$B$10:$F$10</c:f>
              <c:numCache/>
            </c:numRef>
          </c:val>
        </c:ser>
        <c:ser>
          <c:idx val="4"/>
          <c:order val="4"/>
          <c:tx>
            <c:strRef>
              <c:f>'5 Year Forecast'!$A$12</c:f>
            </c:strRef>
          </c:tx>
          <c:cat>
            <c:strRef>
              <c:f>'5 Year Forecast'!$B$1:$F$1</c:f>
            </c:strRef>
          </c:cat>
          <c:val>
            <c:numRef>
              <c:f>'5 Year Forecast'!$B$12:$F$12</c:f>
              <c:numCache/>
            </c:numRef>
          </c:val>
        </c:ser>
        <c:axId val="625395385"/>
        <c:axId val="819748746"/>
      </c:barChart>
      <c:catAx>
        <c:axId val="625395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9748746"/>
      </c:catAx>
      <c:valAx>
        <c:axId val="819748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53953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3</xdr:row>
      <xdr:rowOff>28575</xdr:rowOff>
    </xdr:from>
    <xdr:ext cx="8963025" cy="4848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342900</xdr:colOff>
      <xdr:row>18</xdr:row>
      <xdr:rowOff>152400</xdr:rowOff>
    </xdr:from>
    <xdr:ext cx="5667375" cy="3314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43"/>
    <col customWidth="1" min="2" max="6" width="12.43"/>
    <col customWidth="1" min="7" max="7" width="13.71"/>
    <col customWidth="1" min="8" max="26" width="8.86"/>
  </cols>
  <sheetData>
    <row r="1">
      <c r="A1" s="80" t="s">
        <v>73</v>
      </c>
      <c r="B1" s="5"/>
      <c r="C1" s="5"/>
      <c r="D1" s="5"/>
      <c r="E1" s="5"/>
      <c r="F1" s="5"/>
      <c r="G1" s="8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81"/>
      <c r="B2" s="14" t="s">
        <v>75</v>
      </c>
      <c r="C2" s="14" t="s">
        <v>76</v>
      </c>
      <c r="D2" s="14" t="s">
        <v>78</v>
      </c>
      <c r="E2" s="14" t="s">
        <v>79</v>
      </c>
      <c r="F2" s="14" t="s">
        <v>80</v>
      </c>
      <c r="G2" s="20" t="s">
        <v>39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" t="s">
        <v>82</v>
      </c>
      <c r="B3" s="69">
        <f>+SUM('36 Month Forecast'!B8:M8)</f>
        <v>50700</v>
      </c>
      <c r="C3" s="70">
        <f>+SUM('36 Month Forecast'!N8:Y8)</f>
        <v>233350</v>
      </c>
      <c r="D3" s="70">
        <f>+SUM('36 Month Forecast'!Z8:AK8)</f>
        <v>273000</v>
      </c>
      <c r="E3" s="70">
        <f t="shared" ref="E3:F3" si="1">+D3*(1+E14)</f>
        <v>273000</v>
      </c>
      <c r="F3" s="73">
        <f t="shared" si="1"/>
        <v>273000</v>
      </c>
      <c r="G3" s="73">
        <f t="shared" ref="G3:G5" si="3">+SUM(B3:F3)</f>
        <v>1103050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62" t="s">
        <v>64</v>
      </c>
      <c r="B4" s="84">
        <f>+SUM('36 Month Forecast'!B9:M9)</f>
        <v>0</v>
      </c>
      <c r="C4" s="85">
        <f>+SUM('36 Month Forecast'!N9:Y9)</f>
        <v>0</v>
      </c>
      <c r="D4" s="85">
        <f>+SUM('36 Month Forecast'!Z9:AK9)</f>
        <v>0</v>
      </c>
      <c r="E4" s="85">
        <f t="shared" ref="E4:F4" si="2">+D4*(1+E14)</f>
        <v>0</v>
      </c>
      <c r="F4" s="86">
        <f t="shared" si="2"/>
        <v>0</v>
      </c>
      <c r="G4" s="58">
        <f t="shared" si="3"/>
        <v>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0" t="s">
        <v>67</v>
      </c>
      <c r="B5" s="69">
        <f t="shared" ref="B5:F5" si="4">+B3-B4</f>
        <v>50700</v>
      </c>
      <c r="C5" s="70">
        <f t="shared" si="4"/>
        <v>233350</v>
      </c>
      <c r="D5" s="70">
        <f t="shared" si="4"/>
        <v>273000</v>
      </c>
      <c r="E5" s="70">
        <f t="shared" si="4"/>
        <v>273000</v>
      </c>
      <c r="F5" s="70">
        <f t="shared" si="4"/>
        <v>273000</v>
      </c>
      <c r="G5" s="74">
        <f t="shared" si="3"/>
        <v>1103050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2"/>
      <c r="B6" s="51"/>
      <c r="C6" s="52"/>
      <c r="D6" s="52"/>
      <c r="E6" s="52"/>
      <c r="F6" s="58"/>
      <c r="G6" s="36"/>
      <c r="H6" s="15"/>
      <c r="I6" s="89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2" t="s">
        <v>90</v>
      </c>
      <c r="B7" s="51"/>
      <c r="C7" s="52"/>
      <c r="D7" s="52"/>
      <c r="E7" s="52"/>
      <c r="F7" s="58"/>
      <c r="G7" s="36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2" t="s">
        <v>91</v>
      </c>
      <c r="B8" s="51">
        <f>+SUM('36 Month Forecast'!B19:M19)</f>
        <v>3900</v>
      </c>
      <c r="C8" s="52">
        <f>+SUM('36 Month Forecast'!N19:Y19)</f>
        <v>2500</v>
      </c>
      <c r="D8" s="52">
        <f>+SUM('36 Month Forecast'!Z19:AK19)</f>
        <v>1300</v>
      </c>
      <c r="E8" s="39"/>
      <c r="F8" s="49"/>
      <c r="G8" s="36">
        <f t="shared" ref="G8:G10" si="5">+SUM(B8:F8)</f>
        <v>7700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93</v>
      </c>
      <c r="B9" s="51">
        <f>+SUM('36 Month Forecast'!B41:M41)</f>
        <v>257642.4462</v>
      </c>
      <c r="C9" s="52">
        <f>+SUM('36 Month Forecast'!N41:Y41)</f>
        <v>269985.0462</v>
      </c>
      <c r="D9" s="52">
        <f>+SUM('36 Month Forecast'!Z41:AK41)</f>
        <v>185391.8462</v>
      </c>
      <c r="E9" s="39"/>
      <c r="F9" s="49"/>
      <c r="G9" s="36">
        <f t="shared" si="5"/>
        <v>713019.3385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92" t="s">
        <v>94</v>
      </c>
      <c r="B10" s="69">
        <f t="shared" ref="B10:F10" si="6">+SUM(B8:B9)</f>
        <v>261542.4462</v>
      </c>
      <c r="C10" s="70">
        <f t="shared" si="6"/>
        <v>272485.0462</v>
      </c>
      <c r="D10" s="70">
        <f t="shared" si="6"/>
        <v>186691.8462</v>
      </c>
      <c r="E10" s="70">
        <f t="shared" si="6"/>
        <v>0</v>
      </c>
      <c r="F10" s="73">
        <f t="shared" si="6"/>
        <v>0</v>
      </c>
      <c r="G10" s="74">
        <f t="shared" si="5"/>
        <v>720719.3385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2"/>
      <c r="B11" s="51"/>
      <c r="C11" s="52"/>
      <c r="D11" s="52"/>
      <c r="E11" s="52"/>
      <c r="F11" s="58"/>
      <c r="G11" s="3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93" t="s">
        <v>95</v>
      </c>
      <c r="B12" s="94">
        <f t="shared" ref="B12:F12" si="7">+B5-B10</f>
        <v>-210842.4462</v>
      </c>
      <c r="C12" s="95">
        <f t="shared" si="7"/>
        <v>-39135.04615</v>
      </c>
      <c r="D12" s="95">
        <f t="shared" si="7"/>
        <v>86308.15385</v>
      </c>
      <c r="E12" s="95">
        <f t="shared" si="7"/>
        <v>273000</v>
      </c>
      <c r="F12" s="96">
        <f t="shared" si="7"/>
        <v>273000</v>
      </c>
      <c r="G12" s="97">
        <f>+SUM(B12:F12)</f>
        <v>382330.6615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2"/>
      <c r="B13" s="13"/>
      <c r="C13" s="14"/>
      <c r="D13" s="14"/>
      <c r="E13" s="14"/>
      <c r="F13" s="20"/>
      <c r="G13" s="1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76" t="s">
        <v>98</v>
      </c>
      <c r="B14" s="98"/>
      <c r="C14" s="99"/>
      <c r="D14" s="99"/>
      <c r="E14" s="100"/>
      <c r="F14" s="101"/>
      <c r="G14" s="76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4"/>
      <c r="B15" s="14"/>
      <c r="C15" s="14"/>
      <c r="D15" s="14"/>
      <c r="E15" s="14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03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scale="6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0.86"/>
    <col customWidth="1" min="2" max="2" width="16.86"/>
    <col customWidth="1" min="3" max="5" width="14.57"/>
    <col customWidth="1" min="6" max="12" width="13.86"/>
    <col customWidth="1" min="13" max="13" width="15.43"/>
    <col customWidth="1" min="14" max="17" width="13.86"/>
    <col customWidth="1" min="18" max="37" width="15.43"/>
    <col customWidth="1" min="38" max="38" width="16.86"/>
    <col customWidth="1" min="39" max="39" width="8.86"/>
    <col customWidth="1" min="40" max="40" width="19.43"/>
    <col customWidth="1" min="41" max="41" width="14.86"/>
  </cols>
  <sheetData>
    <row r="1" ht="21.0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6"/>
      <c r="AM1" s="7"/>
      <c r="AN1" s="9"/>
      <c r="AO1" s="6"/>
    </row>
    <row r="2" ht="21.0" customHeight="1">
      <c r="A2" s="11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16" t="s">
        <v>39</v>
      </c>
      <c r="AM2" s="7"/>
      <c r="AN2" s="17" t="s">
        <v>40</v>
      </c>
      <c r="AO2" s="18"/>
    </row>
    <row r="3" ht="21.0" customHeight="1">
      <c r="A3" s="19" t="s">
        <v>41</v>
      </c>
      <c r="B3" s="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6"/>
      <c r="AL3" s="19"/>
      <c r="AM3" s="7"/>
      <c r="AN3" s="27" t="s">
        <v>45</v>
      </c>
      <c r="AO3" s="28"/>
    </row>
    <row r="4" ht="21.0" customHeight="1">
      <c r="A4" s="30" t="s">
        <v>47</v>
      </c>
      <c r="B4" s="31"/>
      <c r="C4" s="34">
        <v>650.0</v>
      </c>
      <c r="D4" s="34">
        <v>650.0</v>
      </c>
      <c r="E4" s="34">
        <v>650.0</v>
      </c>
      <c r="F4" s="34">
        <v>650.0</v>
      </c>
      <c r="G4" s="34">
        <v>650.0</v>
      </c>
      <c r="H4" s="34">
        <v>650.0</v>
      </c>
      <c r="I4" s="34">
        <v>650.0</v>
      </c>
      <c r="J4" s="34">
        <v>650.0</v>
      </c>
      <c r="K4" s="34">
        <v>650.0</v>
      </c>
      <c r="L4" s="34">
        <v>650.0</v>
      </c>
      <c r="M4" s="34">
        <v>650.0</v>
      </c>
      <c r="N4" s="34">
        <v>650.0</v>
      </c>
      <c r="O4" s="34">
        <v>650.0</v>
      </c>
      <c r="P4" s="34">
        <v>650.0</v>
      </c>
      <c r="Q4" s="34">
        <v>650.0</v>
      </c>
      <c r="R4" s="34">
        <v>650.0</v>
      </c>
      <c r="S4" s="34">
        <v>650.0</v>
      </c>
      <c r="T4" s="34">
        <v>650.0</v>
      </c>
      <c r="U4" s="34">
        <v>650.0</v>
      </c>
      <c r="V4" s="34">
        <v>650.0</v>
      </c>
      <c r="W4" s="34">
        <v>650.0</v>
      </c>
      <c r="X4" s="34">
        <v>650.0</v>
      </c>
      <c r="Y4" s="34">
        <v>650.0</v>
      </c>
      <c r="Z4" s="34">
        <v>650.0</v>
      </c>
      <c r="AA4" s="34">
        <v>650.0</v>
      </c>
      <c r="AB4" s="34">
        <v>650.0</v>
      </c>
      <c r="AC4" s="34">
        <v>650.0</v>
      </c>
      <c r="AD4" s="34">
        <v>650.0</v>
      </c>
      <c r="AE4" s="34">
        <v>650.0</v>
      </c>
      <c r="AF4" s="34">
        <v>650.0</v>
      </c>
      <c r="AG4" s="34">
        <v>650.0</v>
      </c>
      <c r="AH4" s="34">
        <v>650.0</v>
      </c>
      <c r="AI4" s="34">
        <v>650.0</v>
      </c>
      <c r="AJ4" s="34">
        <v>650.0</v>
      </c>
      <c r="AK4" s="34">
        <v>650.0</v>
      </c>
      <c r="AL4" s="40"/>
      <c r="AM4" s="7"/>
      <c r="AN4" s="41"/>
      <c r="AO4" s="42"/>
    </row>
    <row r="5" ht="21.0" customHeight="1">
      <c r="A5" s="43" t="s">
        <v>50</v>
      </c>
      <c r="B5" s="44"/>
      <c r="C5" s="45"/>
      <c r="D5" s="45"/>
      <c r="E5" s="45"/>
      <c r="F5" s="45"/>
      <c r="G5" s="45"/>
      <c r="H5" s="46">
        <v>5.0</v>
      </c>
      <c r="I5" s="46">
        <v>8.0</v>
      </c>
      <c r="J5" s="46">
        <v>13.0</v>
      </c>
      <c r="K5" s="46">
        <v>15.0</v>
      </c>
      <c r="L5" s="46">
        <v>17.0</v>
      </c>
      <c r="M5" s="45">
        <v>20.0</v>
      </c>
      <c r="N5" s="45">
        <v>22.0</v>
      </c>
      <c r="O5" s="45">
        <v>24.0</v>
      </c>
      <c r="P5" s="45">
        <v>26.0</v>
      </c>
      <c r="Q5" s="45">
        <v>28.0</v>
      </c>
      <c r="R5" s="45">
        <v>29.0</v>
      </c>
      <c r="S5" s="45">
        <v>30.0</v>
      </c>
      <c r="T5" s="45">
        <v>31.0</v>
      </c>
      <c r="U5" s="45">
        <v>32.0</v>
      </c>
      <c r="V5" s="45">
        <v>33.0</v>
      </c>
      <c r="W5" s="45">
        <v>34.0</v>
      </c>
      <c r="X5" s="45">
        <v>35.0</v>
      </c>
      <c r="Y5" s="45">
        <v>35.0</v>
      </c>
      <c r="Z5" s="45">
        <v>35.0</v>
      </c>
      <c r="AA5" s="45">
        <v>35.0</v>
      </c>
      <c r="AB5" s="45">
        <v>35.0</v>
      </c>
      <c r="AC5" s="45">
        <v>35.0</v>
      </c>
      <c r="AD5" s="45">
        <v>35.0</v>
      </c>
      <c r="AE5" s="45">
        <v>35.0</v>
      </c>
      <c r="AF5" s="45">
        <v>35.0</v>
      </c>
      <c r="AG5" s="45">
        <v>35.0</v>
      </c>
      <c r="AH5" s="45">
        <v>35.0</v>
      </c>
      <c r="AI5" s="45">
        <v>35.0</v>
      </c>
      <c r="AJ5" s="45">
        <v>35.0</v>
      </c>
      <c r="AK5" s="53">
        <v>35.0</v>
      </c>
      <c r="AL5" s="54"/>
      <c r="AM5" s="7"/>
      <c r="AN5" s="41" t="s">
        <v>54</v>
      </c>
      <c r="AO5" s="42"/>
    </row>
    <row r="6" ht="21.0" customHeight="1">
      <c r="A6" s="30"/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54"/>
      <c r="AM6" s="7"/>
      <c r="AN6" s="41" t="s">
        <v>55</v>
      </c>
      <c r="AO6" s="56">
        <v>1200000.0</v>
      </c>
    </row>
    <row r="7" ht="21.0" customHeight="1">
      <c r="A7" s="57"/>
      <c r="B7" s="1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6"/>
      <c r="AL7" s="57"/>
      <c r="AM7" s="7"/>
      <c r="AN7" s="41" t="s">
        <v>57</v>
      </c>
      <c r="AO7" s="60">
        <v>0.0776</v>
      </c>
    </row>
    <row r="8" ht="21.0" customHeight="1">
      <c r="A8" s="57" t="s">
        <v>58</v>
      </c>
      <c r="B8" s="61">
        <f t="shared" ref="B8:AK8" si="1">+B4*B5</f>
        <v>0</v>
      </c>
      <c r="C8" s="61">
        <f t="shared" si="1"/>
        <v>0</v>
      </c>
      <c r="D8" s="61">
        <f t="shared" si="1"/>
        <v>0</v>
      </c>
      <c r="E8" s="61">
        <f t="shared" si="1"/>
        <v>0</v>
      </c>
      <c r="F8" s="61">
        <f t="shared" si="1"/>
        <v>0</v>
      </c>
      <c r="G8" s="61">
        <f t="shared" si="1"/>
        <v>0</v>
      </c>
      <c r="H8" s="61">
        <f t="shared" si="1"/>
        <v>3250</v>
      </c>
      <c r="I8" s="61">
        <f t="shared" si="1"/>
        <v>5200</v>
      </c>
      <c r="J8" s="61">
        <f t="shared" si="1"/>
        <v>8450</v>
      </c>
      <c r="K8" s="61">
        <f t="shared" si="1"/>
        <v>9750</v>
      </c>
      <c r="L8" s="61">
        <f t="shared" si="1"/>
        <v>11050</v>
      </c>
      <c r="M8" s="61">
        <f t="shared" si="1"/>
        <v>13000</v>
      </c>
      <c r="N8" s="61">
        <f t="shared" si="1"/>
        <v>14300</v>
      </c>
      <c r="O8" s="61">
        <f t="shared" si="1"/>
        <v>15600</v>
      </c>
      <c r="P8" s="61">
        <f t="shared" si="1"/>
        <v>16900</v>
      </c>
      <c r="Q8" s="61">
        <f t="shared" si="1"/>
        <v>18200</v>
      </c>
      <c r="R8" s="61">
        <f t="shared" si="1"/>
        <v>18850</v>
      </c>
      <c r="S8" s="61">
        <f t="shared" si="1"/>
        <v>19500</v>
      </c>
      <c r="T8" s="61">
        <f t="shared" si="1"/>
        <v>20150</v>
      </c>
      <c r="U8" s="61">
        <f t="shared" si="1"/>
        <v>20800</v>
      </c>
      <c r="V8" s="61">
        <f t="shared" si="1"/>
        <v>21450</v>
      </c>
      <c r="W8" s="61">
        <f t="shared" si="1"/>
        <v>22100</v>
      </c>
      <c r="X8" s="61">
        <f t="shared" si="1"/>
        <v>22750</v>
      </c>
      <c r="Y8" s="61">
        <f t="shared" si="1"/>
        <v>22750</v>
      </c>
      <c r="Z8" s="61">
        <f t="shared" si="1"/>
        <v>22750</v>
      </c>
      <c r="AA8" s="61">
        <f t="shared" si="1"/>
        <v>22750</v>
      </c>
      <c r="AB8" s="61">
        <f t="shared" si="1"/>
        <v>22750</v>
      </c>
      <c r="AC8" s="61">
        <f t="shared" si="1"/>
        <v>22750</v>
      </c>
      <c r="AD8" s="61">
        <f t="shared" si="1"/>
        <v>22750</v>
      </c>
      <c r="AE8" s="61">
        <f t="shared" si="1"/>
        <v>22750</v>
      </c>
      <c r="AF8" s="61">
        <f t="shared" si="1"/>
        <v>22750</v>
      </c>
      <c r="AG8" s="61">
        <f t="shared" si="1"/>
        <v>22750</v>
      </c>
      <c r="AH8" s="61">
        <f t="shared" si="1"/>
        <v>22750</v>
      </c>
      <c r="AI8" s="61">
        <f t="shared" si="1"/>
        <v>22750</v>
      </c>
      <c r="AJ8" s="61">
        <f t="shared" si="1"/>
        <v>22750</v>
      </c>
      <c r="AK8" s="61">
        <f t="shared" si="1"/>
        <v>22750</v>
      </c>
      <c r="AL8" s="63">
        <f t="shared" ref="AL8:AL10" si="3">+SUM(B8:AK8)</f>
        <v>557050</v>
      </c>
      <c r="AM8" s="7"/>
      <c r="AN8" s="64" t="s">
        <v>62</v>
      </c>
      <c r="AO8" s="65">
        <v>300.0</v>
      </c>
    </row>
    <row r="9" ht="21.0" customHeight="1">
      <c r="A9" s="30" t="s">
        <v>64</v>
      </c>
      <c r="B9" s="66">
        <f t="shared" ref="B9:AK9" si="2">+B8*$AO$3</f>
        <v>0</v>
      </c>
      <c r="C9" s="61">
        <f t="shared" si="2"/>
        <v>0</v>
      </c>
      <c r="D9" s="61">
        <f t="shared" si="2"/>
        <v>0</v>
      </c>
      <c r="E9" s="61">
        <f t="shared" si="2"/>
        <v>0</v>
      </c>
      <c r="F9" s="61">
        <f t="shared" si="2"/>
        <v>0</v>
      </c>
      <c r="G9" s="61">
        <f t="shared" si="2"/>
        <v>0</v>
      </c>
      <c r="H9" s="61">
        <f t="shared" si="2"/>
        <v>0</v>
      </c>
      <c r="I9" s="61">
        <f t="shared" si="2"/>
        <v>0</v>
      </c>
      <c r="J9" s="61">
        <f t="shared" si="2"/>
        <v>0</v>
      </c>
      <c r="K9" s="61">
        <f t="shared" si="2"/>
        <v>0</v>
      </c>
      <c r="L9" s="61">
        <f t="shared" si="2"/>
        <v>0</v>
      </c>
      <c r="M9" s="61">
        <f t="shared" si="2"/>
        <v>0</v>
      </c>
      <c r="N9" s="61">
        <f t="shared" si="2"/>
        <v>0</v>
      </c>
      <c r="O9" s="61">
        <f t="shared" si="2"/>
        <v>0</v>
      </c>
      <c r="P9" s="61">
        <f t="shared" si="2"/>
        <v>0</v>
      </c>
      <c r="Q9" s="61">
        <f t="shared" si="2"/>
        <v>0</v>
      </c>
      <c r="R9" s="61">
        <f t="shared" si="2"/>
        <v>0</v>
      </c>
      <c r="S9" s="61">
        <f t="shared" si="2"/>
        <v>0</v>
      </c>
      <c r="T9" s="61">
        <f t="shared" si="2"/>
        <v>0</v>
      </c>
      <c r="U9" s="61">
        <f t="shared" si="2"/>
        <v>0</v>
      </c>
      <c r="V9" s="61">
        <f t="shared" si="2"/>
        <v>0</v>
      </c>
      <c r="W9" s="61">
        <f t="shared" si="2"/>
        <v>0</v>
      </c>
      <c r="X9" s="61">
        <f t="shared" si="2"/>
        <v>0</v>
      </c>
      <c r="Y9" s="61">
        <f t="shared" si="2"/>
        <v>0</v>
      </c>
      <c r="Z9" s="61">
        <f t="shared" si="2"/>
        <v>0</v>
      </c>
      <c r="AA9" s="61">
        <f t="shared" si="2"/>
        <v>0</v>
      </c>
      <c r="AB9" s="61">
        <f t="shared" si="2"/>
        <v>0</v>
      </c>
      <c r="AC9" s="61">
        <f t="shared" si="2"/>
        <v>0</v>
      </c>
      <c r="AD9" s="61">
        <f t="shared" si="2"/>
        <v>0</v>
      </c>
      <c r="AE9" s="61">
        <f t="shared" si="2"/>
        <v>0</v>
      </c>
      <c r="AF9" s="61">
        <f t="shared" si="2"/>
        <v>0</v>
      </c>
      <c r="AG9" s="61">
        <f t="shared" si="2"/>
        <v>0</v>
      </c>
      <c r="AH9" s="61">
        <f t="shared" si="2"/>
        <v>0</v>
      </c>
      <c r="AI9" s="61">
        <f t="shared" si="2"/>
        <v>0</v>
      </c>
      <c r="AJ9" s="61">
        <f t="shared" si="2"/>
        <v>0</v>
      </c>
      <c r="AK9" s="68">
        <f t="shared" si="2"/>
        <v>0</v>
      </c>
      <c r="AL9" s="63">
        <f t="shared" si="3"/>
        <v>0</v>
      </c>
      <c r="AM9" s="7"/>
      <c r="AN9" s="7"/>
      <c r="AO9" s="7"/>
    </row>
    <row r="10" ht="21.0" customHeight="1">
      <c r="A10" s="19" t="s">
        <v>67</v>
      </c>
      <c r="B10" s="71">
        <f t="shared" ref="B10:AK10" si="4">+B8-B9</f>
        <v>0</v>
      </c>
      <c r="C10" s="72">
        <f t="shared" si="4"/>
        <v>0</v>
      </c>
      <c r="D10" s="72">
        <f t="shared" si="4"/>
        <v>0</v>
      </c>
      <c r="E10" s="72">
        <f t="shared" si="4"/>
        <v>0</v>
      </c>
      <c r="F10" s="72">
        <f t="shared" si="4"/>
        <v>0</v>
      </c>
      <c r="G10" s="72">
        <f t="shared" si="4"/>
        <v>0</v>
      </c>
      <c r="H10" s="72">
        <f t="shared" si="4"/>
        <v>3250</v>
      </c>
      <c r="I10" s="72">
        <f t="shared" si="4"/>
        <v>5200</v>
      </c>
      <c r="J10" s="72">
        <f t="shared" si="4"/>
        <v>8450</v>
      </c>
      <c r="K10" s="72">
        <f t="shared" si="4"/>
        <v>9750</v>
      </c>
      <c r="L10" s="72">
        <f t="shared" si="4"/>
        <v>11050</v>
      </c>
      <c r="M10" s="72">
        <f t="shared" si="4"/>
        <v>13000</v>
      </c>
      <c r="N10" s="72">
        <f t="shared" si="4"/>
        <v>14300</v>
      </c>
      <c r="O10" s="72">
        <f t="shared" si="4"/>
        <v>15600</v>
      </c>
      <c r="P10" s="72">
        <f t="shared" si="4"/>
        <v>16900</v>
      </c>
      <c r="Q10" s="72">
        <f t="shared" si="4"/>
        <v>18200</v>
      </c>
      <c r="R10" s="72">
        <f t="shared" si="4"/>
        <v>18850</v>
      </c>
      <c r="S10" s="72">
        <f t="shared" si="4"/>
        <v>19500</v>
      </c>
      <c r="T10" s="72">
        <f t="shared" si="4"/>
        <v>20150</v>
      </c>
      <c r="U10" s="72">
        <f t="shared" si="4"/>
        <v>20800</v>
      </c>
      <c r="V10" s="72">
        <f t="shared" si="4"/>
        <v>21450</v>
      </c>
      <c r="W10" s="72">
        <f t="shared" si="4"/>
        <v>22100</v>
      </c>
      <c r="X10" s="72">
        <f t="shared" si="4"/>
        <v>22750</v>
      </c>
      <c r="Y10" s="72">
        <f t="shared" si="4"/>
        <v>22750</v>
      </c>
      <c r="Z10" s="72">
        <f t="shared" si="4"/>
        <v>22750</v>
      </c>
      <c r="AA10" s="72">
        <f t="shared" si="4"/>
        <v>22750</v>
      </c>
      <c r="AB10" s="72">
        <f t="shared" si="4"/>
        <v>22750</v>
      </c>
      <c r="AC10" s="72">
        <f t="shared" si="4"/>
        <v>22750</v>
      </c>
      <c r="AD10" s="72">
        <f t="shared" si="4"/>
        <v>22750</v>
      </c>
      <c r="AE10" s="72">
        <f t="shared" si="4"/>
        <v>22750</v>
      </c>
      <c r="AF10" s="72">
        <f t="shared" si="4"/>
        <v>22750</v>
      </c>
      <c r="AG10" s="72">
        <f t="shared" si="4"/>
        <v>22750</v>
      </c>
      <c r="AH10" s="72">
        <f t="shared" si="4"/>
        <v>22750</v>
      </c>
      <c r="AI10" s="72">
        <f t="shared" si="4"/>
        <v>22750</v>
      </c>
      <c r="AJ10" s="72">
        <f t="shared" si="4"/>
        <v>22750</v>
      </c>
      <c r="AK10" s="75">
        <f t="shared" si="4"/>
        <v>22750</v>
      </c>
      <c r="AL10" s="77">
        <f t="shared" si="3"/>
        <v>557050</v>
      </c>
      <c r="AM10" s="7"/>
      <c r="AN10" s="7"/>
      <c r="AO10" s="7"/>
    </row>
    <row r="11" ht="21.0" customHeight="1">
      <c r="A11" s="57"/>
      <c r="B11" s="66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>
        <f>SUM(B10:M10)</f>
        <v>50700</v>
      </c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>
        <f>SUM(N10:Y10)</f>
        <v>233350</v>
      </c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>
        <f>SUM(Z10:AK10)</f>
        <v>273000</v>
      </c>
      <c r="AL11" s="63"/>
      <c r="AM11" s="7"/>
      <c r="AN11" s="7"/>
      <c r="AO11" s="7"/>
    </row>
    <row r="12" ht="21.0" customHeight="1">
      <c r="A12" s="57" t="s">
        <v>72</v>
      </c>
      <c r="B12" s="66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8"/>
      <c r="AL12" s="63"/>
      <c r="AM12" s="7"/>
      <c r="AN12" s="7"/>
      <c r="AO12" s="7"/>
    </row>
    <row r="13" ht="21.0" customHeight="1">
      <c r="A13" s="30" t="s">
        <v>77</v>
      </c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63">
        <f t="shared" ref="AL13:AL19" si="5">+SUM(B13:AK13)</f>
        <v>0</v>
      </c>
      <c r="AM13" s="7"/>
      <c r="AN13" s="7"/>
      <c r="AO13" s="7"/>
    </row>
    <row r="14" ht="21.0" customHeight="1">
      <c r="A14" s="30" t="s">
        <v>83</v>
      </c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63">
        <f t="shared" si="5"/>
        <v>0</v>
      </c>
      <c r="AM14" s="7"/>
      <c r="AN14" s="7"/>
      <c r="AO14" s="7"/>
    </row>
    <row r="15" ht="21.0" customHeight="1">
      <c r="A15" s="30" t="s">
        <v>84</v>
      </c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63">
        <f t="shared" si="5"/>
        <v>0</v>
      </c>
      <c r="AM15" s="7"/>
      <c r="AN15" s="7"/>
      <c r="AO15" s="7"/>
    </row>
    <row r="16" ht="21.0" customHeight="1">
      <c r="A16" s="30" t="s">
        <v>72</v>
      </c>
      <c r="B16" s="82"/>
      <c r="C16" s="83">
        <v>400.0</v>
      </c>
      <c r="D16" s="83">
        <v>400.0</v>
      </c>
      <c r="E16" s="83">
        <v>400.0</v>
      </c>
      <c r="F16" s="83">
        <v>400.0</v>
      </c>
      <c r="G16" s="83">
        <v>400.0</v>
      </c>
      <c r="H16" s="83">
        <v>400.0</v>
      </c>
      <c r="I16" s="83">
        <v>300.0</v>
      </c>
      <c r="J16" s="83">
        <v>300.0</v>
      </c>
      <c r="K16" s="83">
        <v>300.0</v>
      </c>
      <c r="L16" s="83">
        <v>300.0</v>
      </c>
      <c r="M16" s="83">
        <v>300.0</v>
      </c>
      <c r="N16" s="83">
        <v>300.0</v>
      </c>
      <c r="O16" s="83">
        <v>200.0</v>
      </c>
      <c r="P16" s="83">
        <v>200.0</v>
      </c>
      <c r="Q16" s="83">
        <v>200.0</v>
      </c>
      <c r="R16" s="83">
        <v>200.0</v>
      </c>
      <c r="S16" s="83">
        <v>200.0</v>
      </c>
      <c r="T16" s="83">
        <v>200.0</v>
      </c>
      <c r="U16" s="83">
        <v>200.0</v>
      </c>
      <c r="V16" s="83">
        <v>200.0</v>
      </c>
      <c r="W16" s="83">
        <v>200.0</v>
      </c>
      <c r="X16" s="83">
        <v>200.0</v>
      </c>
      <c r="Y16" s="83">
        <v>200.0</v>
      </c>
      <c r="Z16" s="83">
        <v>200.0</v>
      </c>
      <c r="AA16" s="83">
        <v>100.0</v>
      </c>
      <c r="AB16" s="83">
        <v>100.0</v>
      </c>
      <c r="AC16" s="83">
        <v>100.0</v>
      </c>
      <c r="AD16" s="83">
        <v>100.0</v>
      </c>
      <c r="AE16" s="83">
        <v>100.0</v>
      </c>
      <c r="AF16" s="83">
        <v>100.0</v>
      </c>
      <c r="AG16" s="83">
        <v>100.0</v>
      </c>
      <c r="AH16" s="83">
        <v>100.0</v>
      </c>
      <c r="AI16" s="83">
        <v>100.0</v>
      </c>
      <c r="AJ16" s="83">
        <v>100.0</v>
      </c>
      <c r="AK16" s="83">
        <v>100.0</v>
      </c>
      <c r="AL16" s="63">
        <f t="shared" si="5"/>
        <v>7700</v>
      </c>
      <c r="AM16" s="7"/>
      <c r="AN16" s="7"/>
      <c r="AO16" s="7"/>
    </row>
    <row r="17" ht="21.0" customHeight="1">
      <c r="A17" s="30" t="s">
        <v>59</v>
      </c>
      <c r="B17" s="82"/>
      <c r="C17" s="83"/>
      <c r="D17" s="83"/>
      <c r="E17" s="83"/>
      <c r="F17" s="83"/>
      <c r="G17" s="83"/>
      <c r="H17" s="87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8"/>
      <c r="AL17" s="63">
        <f t="shared" si="5"/>
        <v>0</v>
      </c>
      <c r="AM17" s="7"/>
      <c r="AN17" s="7"/>
      <c r="AO17" s="7"/>
    </row>
    <row r="18" ht="21.0" customHeight="1">
      <c r="A18" s="30" t="s">
        <v>88</v>
      </c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8"/>
      <c r="AL18" s="63">
        <f t="shared" si="5"/>
        <v>0</v>
      </c>
      <c r="AM18" s="7"/>
      <c r="AN18" s="7"/>
      <c r="AO18" s="7"/>
    </row>
    <row r="19" ht="21.0" customHeight="1">
      <c r="A19" s="19" t="s">
        <v>92</v>
      </c>
      <c r="B19" s="71">
        <f t="shared" ref="B19:AK19" si="6">+SUM(B13:B18)</f>
        <v>0</v>
      </c>
      <c r="C19" s="72">
        <f t="shared" si="6"/>
        <v>400</v>
      </c>
      <c r="D19" s="72">
        <f t="shared" si="6"/>
        <v>400</v>
      </c>
      <c r="E19" s="72">
        <f t="shared" si="6"/>
        <v>400</v>
      </c>
      <c r="F19" s="72">
        <f t="shared" si="6"/>
        <v>400</v>
      </c>
      <c r="G19" s="72">
        <f t="shared" si="6"/>
        <v>400</v>
      </c>
      <c r="H19" s="72">
        <f t="shared" si="6"/>
        <v>400</v>
      </c>
      <c r="I19" s="72">
        <f t="shared" si="6"/>
        <v>300</v>
      </c>
      <c r="J19" s="72">
        <f t="shared" si="6"/>
        <v>300</v>
      </c>
      <c r="K19" s="72">
        <f t="shared" si="6"/>
        <v>300</v>
      </c>
      <c r="L19" s="72">
        <f t="shared" si="6"/>
        <v>300</v>
      </c>
      <c r="M19" s="72">
        <f t="shared" si="6"/>
        <v>300</v>
      </c>
      <c r="N19" s="72">
        <f t="shared" si="6"/>
        <v>300</v>
      </c>
      <c r="O19" s="72">
        <f t="shared" si="6"/>
        <v>200</v>
      </c>
      <c r="P19" s="72">
        <f t="shared" si="6"/>
        <v>200</v>
      </c>
      <c r="Q19" s="72">
        <f t="shared" si="6"/>
        <v>200</v>
      </c>
      <c r="R19" s="72">
        <f t="shared" si="6"/>
        <v>200</v>
      </c>
      <c r="S19" s="72">
        <f t="shared" si="6"/>
        <v>200</v>
      </c>
      <c r="T19" s="72">
        <f t="shared" si="6"/>
        <v>200</v>
      </c>
      <c r="U19" s="72">
        <f t="shared" si="6"/>
        <v>200</v>
      </c>
      <c r="V19" s="72">
        <f t="shared" si="6"/>
        <v>200</v>
      </c>
      <c r="W19" s="72">
        <f t="shared" si="6"/>
        <v>200</v>
      </c>
      <c r="X19" s="72">
        <f t="shared" si="6"/>
        <v>200</v>
      </c>
      <c r="Y19" s="72">
        <f t="shared" si="6"/>
        <v>200</v>
      </c>
      <c r="Z19" s="72">
        <f t="shared" si="6"/>
        <v>200</v>
      </c>
      <c r="AA19" s="72">
        <f t="shared" si="6"/>
        <v>100</v>
      </c>
      <c r="AB19" s="72">
        <f t="shared" si="6"/>
        <v>100</v>
      </c>
      <c r="AC19" s="72">
        <f t="shared" si="6"/>
        <v>100</v>
      </c>
      <c r="AD19" s="72">
        <f t="shared" si="6"/>
        <v>100</v>
      </c>
      <c r="AE19" s="72">
        <f t="shared" si="6"/>
        <v>100</v>
      </c>
      <c r="AF19" s="72">
        <f t="shared" si="6"/>
        <v>100</v>
      </c>
      <c r="AG19" s="72">
        <f t="shared" si="6"/>
        <v>100</v>
      </c>
      <c r="AH19" s="72">
        <f t="shared" si="6"/>
        <v>100</v>
      </c>
      <c r="AI19" s="72">
        <f t="shared" si="6"/>
        <v>100</v>
      </c>
      <c r="AJ19" s="72">
        <f t="shared" si="6"/>
        <v>100</v>
      </c>
      <c r="AK19" s="75">
        <f t="shared" si="6"/>
        <v>100</v>
      </c>
      <c r="AL19" s="77">
        <f t="shared" si="5"/>
        <v>7700</v>
      </c>
      <c r="AM19" s="7"/>
      <c r="AN19" s="7"/>
      <c r="AO19" s="7"/>
    </row>
    <row r="20" ht="21.0" customHeight="1">
      <c r="A20" s="57"/>
      <c r="B20" s="66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>
        <f>SUM(B19:M19)</f>
        <v>3900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>
        <f>SUM(N19:Y19)</f>
        <v>2500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>
        <f>SUM(Z19:AK19)</f>
        <v>1300</v>
      </c>
      <c r="AL20" s="63"/>
      <c r="AM20" s="7"/>
      <c r="AN20" s="7"/>
      <c r="AO20" s="7"/>
    </row>
    <row r="21" ht="21.0" customHeight="1">
      <c r="A21" s="57" t="s">
        <v>90</v>
      </c>
      <c r="B21" s="66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8"/>
      <c r="AL21" s="63"/>
      <c r="AM21" s="7"/>
      <c r="AN21" s="7"/>
      <c r="AO21" s="7"/>
    </row>
    <row r="22" ht="21.0" customHeight="1">
      <c r="A22" s="30" t="s">
        <v>97</v>
      </c>
      <c r="B22" s="66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8"/>
      <c r="AL22" s="63"/>
      <c r="AM22" s="7"/>
      <c r="AN22" s="7"/>
      <c r="AO22" s="7"/>
    </row>
    <row r="23" ht="21.0" customHeight="1">
      <c r="A23" s="30" t="s">
        <v>99</v>
      </c>
      <c r="B23" s="82"/>
      <c r="C23" s="83">
        <v>200.0</v>
      </c>
      <c r="D23" s="83">
        <v>200.0</v>
      </c>
      <c r="E23" s="83">
        <v>200.0</v>
      </c>
      <c r="F23" s="83">
        <v>200.0</v>
      </c>
      <c r="G23" s="83">
        <v>200.0</v>
      </c>
      <c r="H23" s="83">
        <v>200.0</v>
      </c>
      <c r="I23" s="83">
        <v>200.0</v>
      </c>
      <c r="J23" s="83">
        <v>200.0</v>
      </c>
      <c r="K23" s="83">
        <v>200.0</v>
      </c>
      <c r="L23" s="83">
        <v>200.0</v>
      </c>
      <c r="M23" s="83">
        <v>200.0</v>
      </c>
      <c r="N23" s="83">
        <v>200.0</v>
      </c>
      <c r="O23" s="83">
        <v>200.0</v>
      </c>
      <c r="P23" s="83">
        <v>200.0</v>
      </c>
      <c r="Q23" s="83">
        <v>200.0</v>
      </c>
      <c r="R23" s="83">
        <v>200.0</v>
      </c>
      <c r="S23" s="83">
        <v>200.0</v>
      </c>
      <c r="T23" s="83">
        <v>200.0</v>
      </c>
      <c r="U23" s="83">
        <v>200.0</v>
      </c>
      <c r="V23" s="83">
        <v>200.0</v>
      </c>
      <c r="W23" s="83">
        <v>200.0</v>
      </c>
      <c r="X23" s="83">
        <v>200.0</v>
      </c>
      <c r="Y23" s="83">
        <v>200.0</v>
      </c>
      <c r="Z23" s="83">
        <v>200.0</v>
      </c>
      <c r="AA23" s="83">
        <v>200.0</v>
      </c>
      <c r="AB23" s="83">
        <v>200.0</v>
      </c>
      <c r="AC23" s="83">
        <v>200.0</v>
      </c>
      <c r="AD23" s="83">
        <v>200.0</v>
      </c>
      <c r="AE23" s="83">
        <v>200.0</v>
      </c>
      <c r="AF23" s="83">
        <v>200.0</v>
      </c>
      <c r="AG23" s="83">
        <v>200.0</v>
      </c>
      <c r="AH23" s="83">
        <v>200.0</v>
      </c>
      <c r="AI23" s="83">
        <v>200.0</v>
      </c>
      <c r="AJ23" s="83">
        <v>200.0</v>
      </c>
      <c r="AK23" s="83">
        <v>200.0</v>
      </c>
      <c r="AL23" s="63">
        <f t="shared" ref="AL23:AL29" si="7">+SUM(B23:AK23)</f>
        <v>7000</v>
      </c>
      <c r="AM23" s="7"/>
      <c r="AN23" s="7"/>
      <c r="AO23" s="7"/>
    </row>
    <row r="24" ht="21.0" customHeight="1">
      <c r="A24" s="30" t="s">
        <v>100</v>
      </c>
      <c r="B24" s="82"/>
      <c r="C24" s="83"/>
      <c r="D24" s="83"/>
      <c r="E24" s="83"/>
      <c r="F24" s="83"/>
      <c r="G24" s="83"/>
      <c r="H24" s="102">
        <v>0.0</v>
      </c>
      <c r="I24" s="102">
        <v>0.0</v>
      </c>
      <c r="J24" s="102">
        <v>0.0</v>
      </c>
      <c r="K24" s="102">
        <v>0.0</v>
      </c>
      <c r="L24" s="102">
        <v>0.0</v>
      </c>
      <c r="M24" s="102">
        <v>0.0</v>
      </c>
      <c r="N24" s="102">
        <v>0.0</v>
      </c>
      <c r="O24" s="102">
        <v>0.0</v>
      </c>
      <c r="P24" s="102">
        <v>0.0</v>
      </c>
      <c r="Q24" s="102">
        <v>0.0</v>
      </c>
      <c r="R24" s="102">
        <v>0.0</v>
      </c>
      <c r="S24" s="102">
        <v>0.0</v>
      </c>
      <c r="T24" s="102">
        <v>0.0</v>
      </c>
      <c r="U24" s="102">
        <v>0.0</v>
      </c>
      <c r="V24" s="102">
        <v>0.0</v>
      </c>
      <c r="W24" s="102">
        <v>0.0</v>
      </c>
      <c r="X24" s="102">
        <v>0.0</v>
      </c>
      <c r="Y24" s="102">
        <v>0.0</v>
      </c>
      <c r="Z24" s="83">
        <v>1000.0</v>
      </c>
      <c r="AA24" s="83">
        <v>1000.0</v>
      </c>
      <c r="AB24" s="83">
        <v>1000.0</v>
      </c>
      <c r="AC24" s="83">
        <v>1000.0</v>
      </c>
      <c r="AD24" s="83">
        <v>1000.0</v>
      </c>
      <c r="AE24" s="83">
        <v>1000.0</v>
      </c>
      <c r="AF24" s="83">
        <v>1000.0</v>
      </c>
      <c r="AG24" s="83">
        <v>1000.0</v>
      </c>
      <c r="AH24" s="83">
        <v>1000.0</v>
      </c>
      <c r="AI24" s="83">
        <v>1000.0</v>
      </c>
      <c r="AJ24" s="83">
        <v>1000.0</v>
      </c>
      <c r="AK24" s="83">
        <v>1000.0</v>
      </c>
      <c r="AL24" s="63">
        <f t="shared" si="7"/>
        <v>12000</v>
      </c>
      <c r="AM24" s="7"/>
      <c r="AN24" s="7"/>
      <c r="AO24" s="7"/>
    </row>
    <row r="25" ht="21.0" customHeight="1">
      <c r="A25" s="30" t="s">
        <v>101</v>
      </c>
      <c r="B25" s="66">
        <f>+'36 Month Capital Expenditures'!B12</f>
        <v>3012.820513</v>
      </c>
      <c r="C25" s="61">
        <f>+'36 Month Capital Expenditures'!C12</f>
        <v>3012.820513</v>
      </c>
      <c r="D25" s="61">
        <f>+'36 Month Capital Expenditures'!D12</f>
        <v>3012.820513</v>
      </c>
      <c r="E25" s="61">
        <f>+'36 Month Capital Expenditures'!E12</f>
        <v>3012.820513</v>
      </c>
      <c r="F25" s="61">
        <f>+'36 Month Capital Expenditures'!F12</f>
        <v>3012.820513</v>
      </c>
      <c r="G25" s="61">
        <f>+'36 Month Capital Expenditures'!G12</f>
        <v>3012.820513</v>
      </c>
      <c r="H25" s="61">
        <f>+'36 Month Capital Expenditures'!H12</f>
        <v>3012.820513</v>
      </c>
      <c r="I25" s="61">
        <f>+'36 Month Capital Expenditures'!I12</f>
        <v>3012.820513</v>
      </c>
      <c r="J25" s="61">
        <f>+'36 Month Capital Expenditures'!J12</f>
        <v>3012.820513</v>
      </c>
      <c r="K25" s="61">
        <f>+'36 Month Capital Expenditures'!K12</f>
        <v>3012.820513</v>
      </c>
      <c r="L25" s="61">
        <f>+'36 Month Capital Expenditures'!L12</f>
        <v>3012.820513</v>
      </c>
      <c r="M25" s="61">
        <f>+'36 Month Capital Expenditures'!M12</f>
        <v>3012.820513</v>
      </c>
      <c r="N25" s="61">
        <f>+'36 Month Capital Expenditures'!N12</f>
        <v>3012.820513</v>
      </c>
      <c r="O25" s="61">
        <f>+'36 Month Capital Expenditures'!O12</f>
        <v>3012.820513</v>
      </c>
      <c r="P25" s="61">
        <f>+'36 Month Capital Expenditures'!P12</f>
        <v>3012.820513</v>
      </c>
      <c r="Q25" s="61">
        <f>+'36 Month Capital Expenditures'!Q12</f>
        <v>3012.820513</v>
      </c>
      <c r="R25" s="61">
        <f>+'36 Month Capital Expenditures'!R12</f>
        <v>3012.820513</v>
      </c>
      <c r="S25" s="61">
        <f>+'36 Month Capital Expenditures'!S12</f>
        <v>3012.820513</v>
      </c>
      <c r="T25" s="61">
        <f>+'36 Month Capital Expenditures'!T12</f>
        <v>3012.820513</v>
      </c>
      <c r="U25" s="61">
        <f>+'36 Month Capital Expenditures'!U12</f>
        <v>3012.820513</v>
      </c>
      <c r="V25" s="61">
        <f>+'36 Month Capital Expenditures'!V12</f>
        <v>3012.820513</v>
      </c>
      <c r="W25" s="61">
        <f>+'36 Month Capital Expenditures'!W12</f>
        <v>3012.820513</v>
      </c>
      <c r="X25" s="61">
        <f>+'36 Month Capital Expenditures'!X12</f>
        <v>3012.820513</v>
      </c>
      <c r="Y25" s="61">
        <f>+'36 Month Capital Expenditures'!Y12</f>
        <v>3012.820513</v>
      </c>
      <c r="Z25" s="61">
        <f>+'36 Month Capital Expenditures'!Z12</f>
        <v>3012.820513</v>
      </c>
      <c r="AA25" s="61">
        <f>+'36 Month Capital Expenditures'!AA12</f>
        <v>3012.820513</v>
      </c>
      <c r="AB25" s="61">
        <f>+'36 Month Capital Expenditures'!AB12</f>
        <v>3012.820513</v>
      </c>
      <c r="AC25" s="61">
        <f>+'36 Month Capital Expenditures'!AC12</f>
        <v>3012.820513</v>
      </c>
      <c r="AD25" s="61">
        <f>+'36 Month Capital Expenditures'!AD12</f>
        <v>3012.820513</v>
      </c>
      <c r="AE25" s="61">
        <f>+'36 Month Capital Expenditures'!AE12</f>
        <v>3012.820513</v>
      </c>
      <c r="AF25" s="61">
        <f>+'36 Month Capital Expenditures'!AF12</f>
        <v>3012.820513</v>
      </c>
      <c r="AG25" s="61">
        <f>+'36 Month Capital Expenditures'!AG12</f>
        <v>3012.820513</v>
      </c>
      <c r="AH25" s="61">
        <f>+'36 Month Capital Expenditures'!AH12</f>
        <v>3012.820513</v>
      </c>
      <c r="AI25" s="61">
        <f>+'36 Month Capital Expenditures'!AI12</f>
        <v>3012.820513</v>
      </c>
      <c r="AJ25" s="61">
        <f>+'36 Month Capital Expenditures'!AJ12</f>
        <v>3012.820513</v>
      </c>
      <c r="AK25" s="68">
        <f>+'36 Month Capital Expenditures'!AK12</f>
        <v>3012.820513</v>
      </c>
      <c r="AL25" s="63">
        <f t="shared" si="7"/>
        <v>108461.5385</v>
      </c>
      <c r="AM25" s="7"/>
      <c r="AN25" s="7"/>
      <c r="AO25" s="7"/>
    </row>
    <row r="26" ht="21.0" customHeight="1">
      <c r="A26" s="30" t="s">
        <v>103</v>
      </c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8"/>
      <c r="AL26" s="63">
        <f t="shared" si="7"/>
        <v>0</v>
      </c>
      <c r="AM26" s="7"/>
      <c r="AN26" s="7"/>
      <c r="AO26" s="7"/>
    </row>
    <row r="27" ht="21.0" customHeight="1">
      <c r="A27" s="30" t="s">
        <v>104</v>
      </c>
      <c r="B27" s="82"/>
      <c r="C27" s="83">
        <v>500.0</v>
      </c>
      <c r="D27" s="83">
        <v>500.0</v>
      </c>
      <c r="E27" s="83">
        <v>500.0</v>
      </c>
      <c r="F27" s="83">
        <v>500.0</v>
      </c>
      <c r="G27" s="83">
        <v>500.0</v>
      </c>
      <c r="H27" s="83">
        <v>500.0</v>
      </c>
      <c r="I27" s="83">
        <v>500.0</v>
      </c>
      <c r="J27" s="83">
        <v>500.0</v>
      </c>
      <c r="K27" s="83">
        <v>500.0</v>
      </c>
      <c r="L27" s="83">
        <v>500.0</v>
      </c>
      <c r="M27" s="83">
        <v>500.0</v>
      </c>
      <c r="N27" s="83">
        <v>500.0</v>
      </c>
      <c r="O27" s="83">
        <v>500.0</v>
      </c>
      <c r="P27" s="83">
        <v>500.0</v>
      </c>
      <c r="Q27" s="83">
        <v>500.0</v>
      </c>
      <c r="R27" s="83">
        <v>500.0</v>
      </c>
      <c r="S27" s="83">
        <v>500.0</v>
      </c>
      <c r="T27" s="83">
        <v>500.0</v>
      </c>
      <c r="U27" s="83">
        <v>500.0</v>
      </c>
      <c r="V27" s="83">
        <v>500.0</v>
      </c>
      <c r="W27" s="83">
        <v>500.0</v>
      </c>
      <c r="X27" s="83">
        <v>500.0</v>
      </c>
      <c r="Y27" s="83">
        <v>500.0</v>
      </c>
      <c r="Z27" s="83">
        <v>500.0</v>
      </c>
      <c r="AA27" s="83">
        <v>500.0</v>
      </c>
      <c r="AB27" s="83">
        <v>500.0</v>
      </c>
      <c r="AC27" s="83">
        <v>500.0</v>
      </c>
      <c r="AD27" s="83">
        <v>500.0</v>
      </c>
      <c r="AE27" s="83">
        <v>500.0</v>
      </c>
      <c r="AF27" s="83">
        <v>500.0</v>
      </c>
      <c r="AG27" s="83">
        <v>500.0</v>
      </c>
      <c r="AH27" s="83">
        <v>500.0</v>
      </c>
      <c r="AI27" s="83">
        <v>500.0</v>
      </c>
      <c r="AJ27" s="83">
        <v>500.0</v>
      </c>
      <c r="AK27" s="83">
        <v>500.0</v>
      </c>
      <c r="AL27" s="63">
        <f t="shared" si="7"/>
        <v>17500</v>
      </c>
      <c r="AM27" s="7"/>
      <c r="AN27" s="7"/>
      <c r="AO27" s="7"/>
    </row>
    <row r="28" ht="21.0" customHeight="1">
      <c r="A28" s="30" t="s">
        <v>106</v>
      </c>
      <c r="B28" s="66">
        <f t="shared" ref="B28:AK28" si="8">+$AO$6*$AO$7/12</f>
        <v>7760</v>
      </c>
      <c r="C28" s="61">
        <f t="shared" si="8"/>
        <v>7760</v>
      </c>
      <c r="D28" s="61">
        <f t="shared" si="8"/>
        <v>7760</v>
      </c>
      <c r="E28" s="61">
        <f t="shared" si="8"/>
        <v>7760</v>
      </c>
      <c r="F28" s="61">
        <f t="shared" si="8"/>
        <v>7760</v>
      </c>
      <c r="G28" s="61">
        <f t="shared" si="8"/>
        <v>7760</v>
      </c>
      <c r="H28" s="61">
        <f t="shared" si="8"/>
        <v>7760</v>
      </c>
      <c r="I28" s="61">
        <f t="shared" si="8"/>
        <v>7760</v>
      </c>
      <c r="J28" s="61">
        <f t="shared" si="8"/>
        <v>7760</v>
      </c>
      <c r="K28" s="61">
        <f t="shared" si="8"/>
        <v>7760</v>
      </c>
      <c r="L28" s="61">
        <f t="shared" si="8"/>
        <v>7760</v>
      </c>
      <c r="M28" s="61">
        <f t="shared" si="8"/>
        <v>7760</v>
      </c>
      <c r="N28" s="61">
        <f t="shared" si="8"/>
        <v>7760</v>
      </c>
      <c r="O28" s="61">
        <f t="shared" si="8"/>
        <v>7760</v>
      </c>
      <c r="P28" s="61">
        <f t="shared" si="8"/>
        <v>7760</v>
      </c>
      <c r="Q28" s="61">
        <f t="shared" si="8"/>
        <v>7760</v>
      </c>
      <c r="R28" s="61">
        <f t="shared" si="8"/>
        <v>7760</v>
      </c>
      <c r="S28" s="61">
        <f t="shared" si="8"/>
        <v>7760</v>
      </c>
      <c r="T28" s="61">
        <f t="shared" si="8"/>
        <v>7760</v>
      </c>
      <c r="U28" s="61">
        <f t="shared" si="8"/>
        <v>7760</v>
      </c>
      <c r="V28" s="61">
        <f t="shared" si="8"/>
        <v>7760</v>
      </c>
      <c r="W28" s="61">
        <f t="shared" si="8"/>
        <v>7760</v>
      </c>
      <c r="X28" s="61">
        <f t="shared" si="8"/>
        <v>7760</v>
      </c>
      <c r="Y28" s="61">
        <f t="shared" si="8"/>
        <v>7760</v>
      </c>
      <c r="Z28" s="61">
        <f t="shared" si="8"/>
        <v>7760</v>
      </c>
      <c r="AA28" s="61">
        <f t="shared" si="8"/>
        <v>7760</v>
      </c>
      <c r="AB28" s="61">
        <f t="shared" si="8"/>
        <v>7760</v>
      </c>
      <c r="AC28" s="61">
        <f t="shared" si="8"/>
        <v>7760</v>
      </c>
      <c r="AD28" s="61">
        <f t="shared" si="8"/>
        <v>7760</v>
      </c>
      <c r="AE28" s="61">
        <f t="shared" si="8"/>
        <v>7760</v>
      </c>
      <c r="AF28" s="61">
        <f t="shared" si="8"/>
        <v>7760</v>
      </c>
      <c r="AG28" s="61">
        <f t="shared" si="8"/>
        <v>7760</v>
      </c>
      <c r="AH28" s="61">
        <f t="shared" si="8"/>
        <v>7760</v>
      </c>
      <c r="AI28" s="61">
        <f t="shared" si="8"/>
        <v>7760</v>
      </c>
      <c r="AJ28" s="61">
        <f t="shared" si="8"/>
        <v>7760</v>
      </c>
      <c r="AK28" s="68">
        <f t="shared" si="8"/>
        <v>7760</v>
      </c>
      <c r="AL28" s="63">
        <f t="shared" si="7"/>
        <v>279360</v>
      </c>
      <c r="AM28" s="7"/>
      <c r="AN28" s="7"/>
      <c r="AO28" s="7"/>
    </row>
    <row r="29" ht="21.0" customHeight="1">
      <c r="A29" s="30" t="s">
        <v>107</v>
      </c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8"/>
      <c r="AL29" s="63">
        <f t="shared" si="7"/>
        <v>0</v>
      </c>
      <c r="AM29" s="7"/>
      <c r="AN29" s="7"/>
      <c r="AO29" s="7"/>
    </row>
    <row r="30" ht="21.0" customHeight="1">
      <c r="A30" s="30" t="s">
        <v>108</v>
      </c>
      <c r="B30" s="82"/>
      <c r="C30" s="83"/>
      <c r="D30" s="83"/>
      <c r="E30" s="83"/>
      <c r="F30" s="83"/>
      <c r="G30" s="83"/>
      <c r="H30" s="83">
        <v>100.0</v>
      </c>
      <c r="I30" s="83">
        <v>100.0</v>
      </c>
      <c r="J30" s="83">
        <v>100.0</v>
      </c>
      <c r="K30" s="83">
        <v>100.0</v>
      </c>
      <c r="L30" s="83">
        <v>100.0</v>
      </c>
      <c r="M30" s="83">
        <v>100.0</v>
      </c>
      <c r="N30" s="83">
        <v>100.0</v>
      </c>
      <c r="O30" s="83">
        <v>100.0</v>
      </c>
      <c r="P30" s="83">
        <v>100.0</v>
      </c>
      <c r="Q30" s="83">
        <v>100.0</v>
      </c>
      <c r="R30" s="83">
        <v>100.0</v>
      </c>
      <c r="S30" s="83">
        <v>100.0</v>
      </c>
      <c r="T30" s="83">
        <v>100.0</v>
      </c>
      <c r="U30" s="83">
        <v>100.0</v>
      </c>
      <c r="V30" s="83">
        <v>100.0</v>
      </c>
      <c r="W30" s="83">
        <v>100.0</v>
      </c>
      <c r="X30" s="83">
        <v>100.0</v>
      </c>
      <c r="Y30" s="83">
        <v>100.0</v>
      </c>
      <c r="Z30" s="83">
        <v>100.0</v>
      </c>
      <c r="AA30" s="83">
        <v>100.0</v>
      </c>
      <c r="AB30" s="83">
        <v>100.0</v>
      </c>
      <c r="AC30" s="83">
        <v>100.0</v>
      </c>
      <c r="AD30" s="83">
        <v>100.0</v>
      </c>
      <c r="AE30" s="83">
        <v>100.0</v>
      </c>
      <c r="AF30" s="83">
        <v>100.0</v>
      </c>
      <c r="AG30" s="83">
        <v>100.0</v>
      </c>
      <c r="AH30" s="83">
        <v>100.0</v>
      </c>
      <c r="AI30" s="83">
        <v>100.0</v>
      </c>
      <c r="AJ30" s="83">
        <v>100.0</v>
      </c>
      <c r="AK30" s="83">
        <v>100.0</v>
      </c>
      <c r="AL30" s="63"/>
      <c r="AM30" s="7"/>
      <c r="AN30" s="7"/>
      <c r="AO30" s="7"/>
    </row>
    <row r="31" ht="21.0" customHeight="1">
      <c r="A31" s="30" t="s">
        <v>110</v>
      </c>
      <c r="B31" s="82"/>
      <c r="C31" s="102">
        <v>0.0</v>
      </c>
      <c r="D31" s="102">
        <v>0.0</v>
      </c>
      <c r="E31" s="102">
        <v>0.0</v>
      </c>
      <c r="F31" s="102">
        <v>2000.0</v>
      </c>
      <c r="G31" s="102">
        <v>0.0</v>
      </c>
      <c r="H31" s="102">
        <v>0.0</v>
      </c>
      <c r="I31" s="102">
        <v>0.0</v>
      </c>
      <c r="J31" s="102">
        <v>0.0</v>
      </c>
      <c r="K31" s="102">
        <v>0.0</v>
      </c>
      <c r="L31" s="102">
        <v>0.0</v>
      </c>
      <c r="M31" s="102">
        <v>0.0</v>
      </c>
      <c r="N31" s="102">
        <v>1000.0</v>
      </c>
      <c r="O31" s="102">
        <v>0.0</v>
      </c>
      <c r="P31" s="102">
        <v>0.0</v>
      </c>
      <c r="Q31" s="102">
        <v>0.0</v>
      </c>
      <c r="R31" s="102">
        <v>0.0</v>
      </c>
      <c r="S31" s="102">
        <v>0.0</v>
      </c>
      <c r="T31" s="102">
        <v>0.0</v>
      </c>
      <c r="U31" s="102">
        <v>0.0</v>
      </c>
      <c r="V31" s="102">
        <v>0.0</v>
      </c>
      <c r="W31" s="102">
        <v>0.0</v>
      </c>
      <c r="X31" s="102">
        <v>0.0</v>
      </c>
      <c r="Y31" s="102">
        <v>0.0</v>
      </c>
      <c r="Z31" s="102">
        <v>0.0</v>
      </c>
      <c r="AA31" s="102">
        <v>0.0</v>
      </c>
      <c r="AB31" s="102">
        <v>0.0</v>
      </c>
      <c r="AC31" s="102">
        <v>0.0</v>
      </c>
      <c r="AD31" s="102">
        <v>0.0</v>
      </c>
      <c r="AE31" s="102">
        <v>0.0</v>
      </c>
      <c r="AF31" s="102">
        <v>0.0</v>
      </c>
      <c r="AG31" s="102">
        <v>0.0</v>
      </c>
      <c r="AH31" s="102">
        <v>0.0</v>
      </c>
      <c r="AI31" s="102">
        <v>0.0</v>
      </c>
      <c r="AJ31" s="102">
        <v>0.0</v>
      </c>
      <c r="AK31" s="102">
        <v>0.0</v>
      </c>
      <c r="AL31" s="63"/>
      <c r="AM31" s="7"/>
      <c r="AN31" s="7"/>
      <c r="AO31" s="7"/>
    </row>
    <row r="32" ht="21.0" customHeight="1">
      <c r="A32" s="30" t="s">
        <v>111</v>
      </c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8"/>
      <c r="AL32" s="63">
        <f>+SUM(B32:AK32)</f>
        <v>0</v>
      </c>
      <c r="AM32" s="7"/>
      <c r="AN32" s="7"/>
      <c r="AO32" s="7"/>
    </row>
    <row r="33" ht="21.0" customHeight="1">
      <c r="A33" s="30" t="s">
        <v>112</v>
      </c>
      <c r="B33" s="82"/>
      <c r="C33" s="83"/>
      <c r="D33" s="83"/>
      <c r="E33" s="83"/>
      <c r="F33" s="83"/>
      <c r="G33" s="83">
        <v>300.0</v>
      </c>
      <c r="H33" s="83">
        <v>300.0</v>
      </c>
      <c r="I33" s="83">
        <v>300.0</v>
      </c>
      <c r="J33" s="83">
        <v>300.0</v>
      </c>
      <c r="K33" s="83">
        <v>300.0</v>
      </c>
      <c r="L33" s="83">
        <v>300.0</v>
      </c>
      <c r="M33" s="83">
        <v>300.0</v>
      </c>
      <c r="N33" s="83">
        <v>300.0</v>
      </c>
      <c r="O33" s="83">
        <v>300.0</v>
      </c>
      <c r="P33" s="83">
        <v>300.0</v>
      </c>
      <c r="Q33" s="83">
        <v>300.0</v>
      </c>
      <c r="R33" s="83">
        <v>300.0</v>
      </c>
      <c r="S33" s="83">
        <v>300.0</v>
      </c>
      <c r="T33" s="83">
        <v>300.0</v>
      </c>
      <c r="U33" s="83">
        <v>300.0</v>
      </c>
      <c r="V33" s="83">
        <v>300.0</v>
      </c>
      <c r="W33" s="83">
        <v>300.0</v>
      </c>
      <c r="X33" s="83">
        <v>300.0</v>
      </c>
      <c r="Y33" s="83">
        <v>300.0</v>
      </c>
      <c r="Z33" s="83">
        <v>300.0</v>
      </c>
      <c r="AA33" s="83">
        <v>300.0</v>
      </c>
      <c r="AB33" s="83">
        <v>300.0</v>
      </c>
      <c r="AC33" s="83">
        <v>300.0</v>
      </c>
      <c r="AD33" s="83">
        <v>300.0</v>
      </c>
      <c r="AE33" s="83">
        <v>300.0</v>
      </c>
      <c r="AF33" s="83">
        <v>300.0</v>
      </c>
      <c r="AG33" s="83">
        <v>300.0</v>
      </c>
      <c r="AH33" s="83">
        <v>300.0</v>
      </c>
      <c r="AI33" s="83">
        <v>300.0</v>
      </c>
      <c r="AJ33" s="83">
        <v>300.0</v>
      </c>
      <c r="AK33" s="83">
        <v>300.0</v>
      </c>
      <c r="AL33" s="63"/>
      <c r="AM33" s="7"/>
      <c r="AN33" s="7"/>
      <c r="AO33" s="7"/>
    </row>
    <row r="34" ht="21.0" customHeight="1">
      <c r="A34" s="30" t="s">
        <v>113</v>
      </c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63">
        <f t="shared" ref="AL34:AL41" si="9">+SUM(B34:AK34)</f>
        <v>0</v>
      </c>
      <c r="AM34" s="7"/>
      <c r="AN34" s="7"/>
      <c r="AO34" s="7"/>
    </row>
    <row r="35" ht="21.0" customHeight="1">
      <c r="A35" s="30" t="s">
        <v>114</v>
      </c>
      <c r="B35" s="82"/>
      <c r="C35" s="83">
        <v>1000.0</v>
      </c>
      <c r="D35" s="83">
        <v>1000.0</v>
      </c>
      <c r="E35" s="83">
        <v>1000.0</v>
      </c>
      <c r="F35" s="83">
        <v>1000.0</v>
      </c>
      <c r="G35" s="83">
        <v>1000.0</v>
      </c>
      <c r="H35" s="83">
        <v>1000.0</v>
      </c>
      <c r="I35" s="83">
        <v>1000.0</v>
      </c>
      <c r="J35" s="83">
        <v>1000.0</v>
      </c>
      <c r="K35" s="83">
        <v>1000.0</v>
      </c>
      <c r="L35" s="83">
        <v>1000.0</v>
      </c>
      <c r="M35" s="83">
        <v>1000.0</v>
      </c>
      <c r="N35" s="83">
        <v>1000.0</v>
      </c>
      <c r="O35" s="83">
        <v>1000.0</v>
      </c>
      <c r="P35" s="83">
        <v>1000.0</v>
      </c>
      <c r="Q35" s="83">
        <v>1000.0</v>
      </c>
      <c r="R35" s="83">
        <v>1000.0</v>
      </c>
      <c r="S35" s="83">
        <v>1000.0</v>
      </c>
      <c r="T35" s="83">
        <v>1000.0</v>
      </c>
      <c r="U35" s="83">
        <v>1000.0</v>
      </c>
      <c r="V35" s="83">
        <v>1000.0</v>
      </c>
      <c r="W35" s="83">
        <v>1000.0</v>
      </c>
      <c r="X35" s="83">
        <v>1000.0</v>
      </c>
      <c r="Y35" s="83">
        <v>1000.0</v>
      </c>
      <c r="Z35" s="83">
        <v>1000.0</v>
      </c>
      <c r="AA35" s="83">
        <v>1000.0</v>
      </c>
      <c r="AB35" s="83">
        <v>1000.0</v>
      </c>
      <c r="AC35" s="83">
        <v>1000.0</v>
      </c>
      <c r="AD35" s="83">
        <v>1000.0</v>
      </c>
      <c r="AE35" s="83">
        <v>1000.0</v>
      </c>
      <c r="AF35" s="83">
        <v>1000.0</v>
      </c>
      <c r="AG35" s="83">
        <v>1000.0</v>
      </c>
      <c r="AH35" s="83">
        <v>1000.0</v>
      </c>
      <c r="AI35" s="83">
        <v>1000.0</v>
      </c>
      <c r="AJ35" s="83">
        <v>1000.0</v>
      </c>
      <c r="AK35" s="83">
        <v>1000.0</v>
      </c>
      <c r="AL35" s="63">
        <f t="shared" si="9"/>
        <v>35000</v>
      </c>
      <c r="AM35" s="7"/>
      <c r="AN35" s="7"/>
      <c r="AO35" s="7"/>
    </row>
    <row r="36" ht="21.0" customHeight="1">
      <c r="A36" s="30" t="s">
        <v>116</v>
      </c>
      <c r="B36" s="82"/>
      <c r="C36" s="83">
        <v>500.0</v>
      </c>
      <c r="D36" s="83">
        <v>500.0</v>
      </c>
      <c r="E36" s="83">
        <v>500.0</v>
      </c>
      <c r="F36" s="83">
        <v>500.0</v>
      </c>
      <c r="G36" s="83">
        <v>500.0</v>
      </c>
      <c r="H36" s="83">
        <v>500.0</v>
      </c>
      <c r="I36" s="83">
        <v>500.0</v>
      </c>
      <c r="J36" s="83">
        <v>500.0</v>
      </c>
      <c r="K36" s="83">
        <v>500.0</v>
      </c>
      <c r="L36" s="83">
        <v>500.0</v>
      </c>
      <c r="M36" s="83">
        <v>500.0</v>
      </c>
      <c r="N36" s="83">
        <v>500.0</v>
      </c>
      <c r="O36" s="83">
        <v>500.0</v>
      </c>
      <c r="P36" s="83">
        <v>500.0</v>
      </c>
      <c r="Q36" s="83">
        <v>500.0</v>
      </c>
      <c r="R36" s="83">
        <v>500.0</v>
      </c>
      <c r="S36" s="83">
        <v>500.0</v>
      </c>
      <c r="T36" s="83">
        <v>500.0</v>
      </c>
      <c r="U36" s="83">
        <v>500.0</v>
      </c>
      <c r="V36" s="83">
        <v>500.0</v>
      </c>
      <c r="W36" s="83">
        <v>500.0</v>
      </c>
      <c r="X36" s="83">
        <v>500.0</v>
      </c>
      <c r="Y36" s="83">
        <v>500.0</v>
      </c>
      <c r="Z36" s="83">
        <v>500.0</v>
      </c>
      <c r="AA36" s="83">
        <v>500.0</v>
      </c>
      <c r="AB36" s="83">
        <v>500.0</v>
      </c>
      <c r="AC36" s="83">
        <v>500.0</v>
      </c>
      <c r="AD36" s="83">
        <v>500.0</v>
      </c>
      <c r="AE36" s="83">
        <v>500.0</v>
      </c>
      <c r="AF36" s="83">
        <v>500.0</v>
      </c>
      <c r="AG36" s="83">
        <v>500.0</v>
      </c>
      <c r="AH36" s="83">
        <v>500.0</v>
      </c>
      <c r="AI36" s="83">
        <v>500.0</v>
      </c>
      <c r="AJ36" s="83">
        <v>500.0</v>
      </c>
      <c r="AK36" s="88">
        <v>500.0</v>
      </c>
      <c r="AL36" s="63">
        <f t="shared" si="9"/>
        <v>17500</v>
      </c>
      <c r="AM36" s="7"/>
      <c r="AN36" s="7"/>
      <c r="AO36" s="7"/>
    </row>
    <row r="37" ht="21.0" customHeight="1">
      <c r="A37" s="30" t="s">
        <v>52</v>
      </c>
      <c r="B37" s="66">
        <f>+'36 Month Wages'!B50</f>
        <v>0</v>
      </c>
      <c r="C37" s="61">
        <f>+'36 Month Wages'!C50</f>
        <v>8400</v>
      </c>
      <c r="D37" s="61">
        <f>+'36 Month Wages'!D50</f>
        <v>8400</v>
      </c>
      <c r="E37" s="61">
        <f>+'36 Month Wages'!E50</f>
        <v>8400</v>
      </c>
      <c r="F37" s="61">
        <f>+'36 Month Wages'!F50</f>
        <v>8400</v>
      </c>
      <c r="G37" s="61">
        <f>+'36 Month Wages'!G50</f>
        <v>8400</v>
      </c>
      <c r="H37" s="61">
        <f>+'36 Month Wages'!H50</f>
        <v>8400</v>
      </c>
      <c r="I37" s="61">
        <f>+'36 Month Wages'!I50</f>
        <v>8400</v>
      </c>
      <c r="J37" s="61">
        <f>+'36 Month Wages'!J50</f>
        <v>8400</v>
      </c>
      <c r="K37" s="61">
        <f>+'36 Month Wages'!K50</f>
        <v>8400</v>
      </c>
      <c r="L37" s="61">
        <f>+'36 Month Wages'!L50</f>
        <v>8400</v>
      </c>
      <c r="M37" s="61">
        <f>+'36 Month Wages'!M50</f>
        <v>8400</v>
      </c>
      <c r="N37" s="61">
        <f>+'36 Month Wages'!N50</f>
        <v>8400</v>
      </c>
      <c r="O37" s="61">
        <f>+'36 Month Wages'!O50</f>
        <v>8400</v>
      </c>
      <c r="P37" s="61">
        <f>+'36 Month Wages'!P50</f>
        <v>8400</v>
      </c>
      <c r="Q37" s="61">
        <f>+'36 Month Wages'!Q50</f>
        <v>8400</v>
      </c>
      <c r="R37" s="61">
        <f>+'36 Month Wages'!R50</f>
        <v>8400</v>
      </c>
      <c r="S37" s="61">
        <f>+'36 Month Wages'!S50</f>
        <v>8400</v>
      </c>
      <c r="T37" s="61">
        <f>+'36 Month Wages'!T50</f>
        <v>8400</v>
      </c>
      <c r="U37" s="61">
        <f>+'36 Month Wages'!U50</f>
        <v>8400</v>
      </c>
      <c r="V37" s="61">
        <f>+'36 Month Wages'!V50</f>
        <v>8400</v>
      </c>
      <c r="W37" s="61">
        <f>+'36 Month Wages'!W50</f>
        <v>8400</v>
      </c>
      <c r="X37" s="61">
        <f>+'36 Month Wages'!X50</f>
        <v>8400</v>
      </c>
      <c r="Y37" s="61">
        <f>+'36 Month Wages'!Y50</f>
        <v>8400</v>
      </c>
      <c r="Z37" s="61">
        <f>+'36 Month Wages'!Z50</f>
        <v>1000</v>
      </c>
      <c r="AA37" s="61">
        <f>+'36 Month Wages'!AA50</f>
        <v>1000</v>
      </c>
      <c r="AB37" s="61">
        <f>+'36 Month Wages'!AB50</f>
        <v>1000</v>
      </c>
      <c r="AC37" s="61">
        <f>+'36 Month Wages'!AC50</f>
        <v>1000</v>
      </c>
      <c r="AD37" s="61">
        <f>+'36 Month Wages'!AD50</f>
        <v>1000</v>
      </c>
      <c r="AE37" s="61">
        <f>+'36 Month Wages'!AE50</f>
        <v>1000</v>
      </c>
      <c r="AF37" s="61">
        <f>+'36 Month Wages'!AF50</f>
        <v>1000</v>
      </c>
      <c r="AG37" s="61">
        <f>+'36 Month Wages'!AG50</f>
        <v>1000</v>
      </c>
      <c r="AH37" s="61">
        <f>+'36 Month Wages'!AH50</f>
        <v>1000</v>
      </c>
      <c r="AI37" s="61">
        <f>+'36 Month Wages'!AI50</f>
        <v>1000</v>
      </c>
      <c r="AJ37" s="61">
        <f>+'36 Month Wages'!AJ50</f>
        <v>1000</v>
      </c>
      <c r="AK37" s="68">
        <f>+'36 Month Wages'!AK50</f>
        <v>1000</v>
      </c>
      <c r="AL37" s="63">
        <f t="shared" si="9"/>
        <v>205200</v>
      </c>
      <c r="AM37" s="7"/>
      <c r="AN37" s="7"/>
      <c r="AO37" s="7"/>
    </row>
    <row r="38" ht="21.0" customHeight="1">
      <c r="A38" s="30" t="s">
        <v>117</v>
      </c>
      <c r="B38" s="66">
        <f t="shared" ref="B38:AK38" si="10">+B37*0.0765</f>
        <v>0</v>
      </c>
      <c r="C38" s="61">
        <f t="shared" si="10"/>
        <v>642.6</v>
      </c>
      <c r="D38" s="61">
        <f t="shared" si="10"/>
        <v>642.6</v>
      </c>
      <c r="E38" s="61">
        <f t="shared" si="10"/>
        <v>642.6</v>
      </c>
      <c r="F38" s="61">
        <f t="shared" si="10"/>
        <v>642.6</v>
      </c>
      <c r="G38" s="61">
        <f t="shared" si="10"/>
        <v>642.6</v>
      </c>
      <c r="H38" s="61">
        <f t="shared" si="10"/>
        <v>642.6</v>
      </c>
      <c r="I38" s="61">
        <f t="shared" si="10"/>
        <v>642.6</v>
      </c>
      <c r="J38" s="61">
        <f t="shared" si="10"/>
        <v>642.6</v>
      </c>
      <c r="K38" s="61">
        <f t="shared" si="10"/>
        <v>642.6</v>
      </c>
      <c r="L38" s="61">
        <f t="shared" si="10"/>
        <v>642.6</v>
      </c>
      <c r="M38" s="61">
        <f t="shared" si="10"/>
        <v>642.6</v>
      </c>
      <c r="N38" s="61">
        <f t="shared" si="10"/>
        <v>642.6</v>
      </c>
      <c r="O38" s="61">
        <f t="shared" si="10"/>
        <v>642.6</v>
      </c>
      <c r="P38" s="61">
        <f t="shared" si="10"/>
        <v>642.6</v>
      </c>
      <c r="Q38" s="61">
        <f t="shared" si="10"/>
        <v>642.6</v>
      </c>
      <c r="R38" s="61">
        <f t="shared" si="10"/>
        <v>642.6</v>
      </c>
      <c r="S38" s="61">
        <f t="shared" si="10"/>
        <v>642.6</v>
      </c>
      <c r="T38" s="61">
        <f t="shared" si="10"/>
        <v>642.6</v>
      </c>
      <c r="U38" s="61">
        <f t="shared" si="10"/>
        <v>642.6</v>
      </c>
      <c r="V38" s="61">
        <f t="shared" si="10"/>
        <v>642.6</v>
      </c>
      <c r="W38" s="61">
        <f t="shared" si="10"/>
        <v>642.6</v>
      </c>
      <c r="X38" s="61">
        <f t="shared" si="10"/>
        <v>642.6</v>
      </c>
      <c r="Y38" s="61">
        <f t="shared" si="10"/>
        <v>642.6</v>
      </c>
      <c r="Z38" s="61">
        <f t="shared" si="10"/>
        <v>76.5</v>
      </c>
      <c r="AA38" s="61">
        <f t="shared" si="10"/>
        <v>76.5</v>
      </c>
      <c r="AB38" s="61">
        <f t="shared" si="10"/>
        <v>76.5</v>
      </c>
      <c r="AC38" s="61">
        <f t="shared" si="10"/>
        <v>76.5</v>
      </c>
      <c r="AD38" s="61">
        <f t="shared" si="10"/>
        <v>76.5</v>
      </c>
      <c r="AE38" s="61">
        <f t="shared" si="10"/>
        <v>76.5</v>
      </c>
      <c r="AF38" s="61">
        <f t="shared" si="10"/>
        <v>76.5</v>
      </c>
      <c r="AG38" s="61">
        <f t="shared" si="10"/>
        <v>76.5</v>
      </c>
      <c r="AH38" s="61">
        <f t="shared" si="10"/>
        <v>76.5</v>
      </c>
      <c r="AI38" s="61">
        <f t="shared" si="10"/>
        <v>76.5</v>
      </c>
      <c r="AJ38" s="61">
        <f t="shared" si="10"/>
        <v>76.5</v>
      </c>
      <c r="AK38" s="68">
        <f t="shared" si="10"/>
        <v>76.5</v>
      </c>
      <c r="AL38" s="63">
        <f t="shared" si="9"/>
        <v>15697.8</v>
      </c>
      <c r="AM38" s="7"/>
      <c r="AN38" s="7"/>
      <c r="AO38" s="7"/>
    </row>
    <row r="39" ht="21.0" customHeight="1">
      <c r="A39" s="30" t="s">
        <v>59</v>
      </c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8"/>
      <c r="AL39" s="63">
        <f t="shared" si="9"/>
        <v>0</v>
      </c>
      <c r="AM39" s="7"/>
      <c r="AN39" s="7"/>
      <c r="AO39" s="7"/>
    </row>
    <row r="40" ht="21.0" customHeight="1">
      <c r="A40" s="30" t="s">
        <v>88</v>
      </c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8"/>
      <c r="AL40" s="63">
        <f t="shared" si="9"/>
        <v>0</v>
      </c>
      <c r="AM40" s="7"/>
      <c r="AN40" s="7"/>
      <c r="AO40" s="7"/>
    </row>
    <row r="41" ht="21.0" customHeight="1">
      <c r="A41" s="104" t="s">
        <v>119</v>
      </c>
      <c r="B41" s="71">
        <f t="shared" ref="B41:AK41" si="11">+SUM(B23:B40)</f>
        <v>10772.82051</v>
      </c>
      <c r="C41" s="72">
        <f t="shared" si="11"/>
        <v>22015.42051</v>
      </c>
      <c r="D41" s="72">
        <f t="shared" si="11"/>
        <v>22015.42051</v>
      </c>
      <c r="E41" s="72">
        <f t="shared" si="11"/>
        <v>22015.42051</v>
      </c>
      <c r="F41" s="72">
        <f t="shared" si="11"/>
        <v>24015.42051</v>
      </c>
      <c r="G41" s="72">
        <f t="shared" si="11"/>
        <v>22315.42051</v>
      </c>
      <c r="H41" s="72">
        <f t="shared" si="11"/>
        <v>22415.42051</v>
      </c>
      <c r="I41" s="72">
        <f t="shared" si="11"/>
        <v>22415.42051</v>
      </c>
      <c r="J41" s="72">
        <f t="shared" si="11"/>
        <v>22415.42051</v>
      </c>
      <c r="K41" s="72">
        <f t="shared" si="11"/>
        <v>22415.42051</v>
      </c>
      <c r="L41" s="72">
        <f t="shared" si="11"/>
        <v>22415.42051</v>
      </c>
      <c r="M41" s="72">
        <f t="shared" si="11"/>
        <v>22415.42051</v>
      </c>
      <c r="N41" s="72">
        <f t="shared" si="11"/>
        <v>23415.42051</v>
      </c>
      <c r="O41" s="72">
        <f t="shared" si="11"/>
        <v>22415.42051</v>
      </c>
      <c r="P41" s="72">
        <f t="shared" si="11"/>
        <v>22415.42051</v>
      </c>
      <c r="Q41" s="72">
        <f t="shared" si="11"/>
        <v>22415.42051</v>
      </c>
      <c r="R41" s="72">
        <f t="shared" si="11"/>
        <v>22415.42051</v>
      </c>
      <c r="S41" s="72">
        <f t="shared" si="11"/>
        <v>22415.42051</v>
      </c>
      <c r="T41" s="72">
        <f t="shared" si="11"/>
        <v>22415.42051</v>
      </c>
      <c r="U41" s="72">
        <f t="shared" si="11"/>
        <v>22415.42051</v>
      </c>
      <c r="V41" s="72">
        <f t="shared" si="11"/>
        <v>22415.42051</v>
      </c>
      <c r="W41" s="72">
        <f t="shared" si="11"/>
        <v>22415.42051</v>
      </c>
      <c r="X41" s="72">
        <f t="shared" si="11"/>
        <v>22415.42051</v>
      </c>
      <c r="Y41" s="72">
        <f t="shared" si="11"/>
        <v>22415.42051</v>
      </c>
      <c r="Z41" s="72">
        <f t="shared" si="11"/>
        <v>15449.32051</v>
      </c>
      <c r="AA41" s="72">
        <f t="shared" si="11"/>
        <v>15449.32051</v>
      </c>
      <c r="AB41" s="72">
        <f t="shared" si="11"/>
        <v>15449.32051</v>
      </c>
      <c r="AC41" s="72">
        <f t="shared" si="11"/>
        <v>15449.32051</v>
      </c>
      <c r="AD41" s="72">
        <f t="shared" si="11"/>
        <v>15449.32051</v>
      </c>
      <c r="AE41" s="72">
        <f t="shared" si="11"/>
        <v>15449.32051</v>
      </c>
      <c r="AF41" s="72">
        <f t="shared" si="11"/>
        <v>15449.32051</v>
      </c>
      <c r="AG41" s="72">
        <f t="shared" si="11"/>
        <v>15449.32051</v>
      </c>
      <c r="AH41" s="72">
        <f t="shared" si="11"/>
        <v>15449.32051</v>
      </c>
      <c r="AI41" s="72">
        <f t="shared" si="11"/>
        <v>15449.32051</v>
      </c>
      <c r="AJ41" s="72">
        <f t="shared" si="11"/>
        <v>15449.32051</v>
      </c>
      <c r="AK41" s="75">
        <f t="shared" si="11"/>
        <v>15449.32051</v>
      </c>
      <c r="AL41" s="77">
        <f t="shared" si="9"/>
        <v>713019.3385</v>
      </c>
      <c r="AM41" s="7"/>
      <c r="AN41" s="7"/>
      <c r="AO41" s="7"/>
    </row>
    <row r="42" ht="21.0" customHeight="1">
      <c r="A42" s="30"/>
      <c r="B42" s="11"/>
      <c r="C42" s="7"/>
      <c r="D42" s="7"/>
      <c r="E42" s="7"/>
      <c r="F42" s="7"/>
      <c r="G42" s="7"/>
      <c r="H42" s="7"/>
      <c r="I42" s="7"/>
      <c r="J42" s="7"/>
      <c r="K42" s="7"/>
      <c r="L42" s="7"/>
      <c r="M42" s="61">
        <f>SUM(B41:M41)</f>
        <v>257642.4462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61">
        <f>SUM(N41:Y41)</f>
        <v>269985.0462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61">
        <f>SUM(Z41:AK41)</f>
        <v>185391.8462</v>
      </c>
      <c r="AL42" s="57"/>
      <c r="AM42" s="7"/>
      <c r="AN42" s="7"/>
      <c r="AO42" s="7"/>
    </row>
    <row r="43" ht="21.0" customHeight="1">
      <c r="A43" s="30"/>
      <c r="B43" s="1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6"/>
      <c r="AL43" s="57"/>
      <c r="AM43" s="7"/>
      <c r="AN43" s="7"/>
      <c r="AO43" s="7"/>
    </row>
    <row r="44" ht="21.0" customHeight="1">
      <c r="A44" s="104" t="s">
        <v>94</v>
      </c>
      <c r="B44" s="71">
        <f t="shared" ref="B44:AK44" si="12">+B19+B41</f>
        <v>10772.82051</v>
      </c>
      <c r="C44" s="72">
        <f t="shared" si="12"/>
        <v>22415.42051</v>
      </c>
      <c r="D44" s="72">
        <f t="shared" si="12"/>
        <v>22415.42051</v>
      </c>
      <c r="E44" s="72">
        <f t="shared" si="12"/>
        <v>22415.42051</v>
      </c>
      <c r="F44" s="72">
        <f t="shared" si="12"/>
        <v>24415.42051</v>
      </c>
      <c r="G44" s="72">
        <f t="shared" si="12"/>
        <v>22715.42051</v>
      </c>
      <c r="H44" s="72">
        <f t="shared" si="12"/>
        <v>22815.42051</v>
      </c>
      <c r="I44" s="72">
        <f t="shared" si="12"/>
        <v>22715.42051</v>
      </c>
      <c r="J44" s="72">
        <f t="shared" si="12"/>
        <v>22715.42051</v>
      </c>
      <c r="K44" s="72">
        <f t="shared" si="12"/>
        <v>22715.42051</v>
      </c>
      <c r="L44" s="72">
        <f t="shared" si="12"/>
        <v>22715.42051</v>
      </c>
      <c r="M44" s="72">
        <f t="shared" si="12"/>
        <v>22715.42051</v>
      </c>
      <c r="N44" s="72">
        <f t="shared" si="12"/>
        <v>23715.42051</v>
      </c>
      <c r="O44" s="72">
        <f t="shared" si="12"/>
        <v>22615.42051</v>
      </c>
      <c r="P44" s="72">
        <f t="shared" si="12"/>
        <v>22615.42051</v>
      </c>
      <c r="Q44" s="72">
        <f t="shared" si="12"/>
        <v>22615.42051</v>
      </c>
      <c r="R44" s="72">
        <f t="shared" si="12"/>
        <v>22615.42051</v>
      </c>
      <c r="S44" s="72">
        <f t="shared" si="12"/>
        <v>22615.42051</v>
      </c>
      <c r="T44" s="72">
        <f t="shared" si="12"/>
        <v>22615.42051</v>
      </c>
      <c r="U44" s="72">
        <f t="shared" si="12"/>
        <v>22615.42051</v>
      </c>
      <c r="V44" s="72">
        <f t="shared" si="12"/>
        <v>22615.42051</v>
      </c>
      <c r="W44" s="72">
        <f t="shared" si="12"/>
        <v>22615.42051</v>
      </c>
      <c r="X44" s="72">
        <f t="shared" si="12"/>
        <v>22615.42051</v>
      </c>
      <c r="Y44" s="72">
        <f t="shared" si="12"/>
        <v>22615.42051</v>
      </c>
      <c r="Z44" s="72">
        <f t="shared" si="12"/>
        <v>15649.32051</v>
      </c>
      <c r="AA44" s="72">
        <f t="shared" si="12"/>
        <v>15549.32051</v>
      </c>
      <c r="AB44" s="72">
        <f t="shared" si="12"/>
        <v>15549.32051</v>
      </c>
      <c r="AC44" s="72">
        <f t="shared" si="12"/>
        <v>15549.32051</v>
      </c>
      <c r="AD44" s="72">
        <f t="shared" si="12"/>
        <v>15549.32051</v>
      </c>
      <c r="AE44" s="72">
        <f t="shared" si="12"/>
        <v>15549.32051</v>
      </c>
      <c r="AF44" s="72">
        <f t="shared" si="12"/>
        <v>15549.32051</v>
      </c>
      <c r="AG44" s="72">
        <f t="shared" si="12"/>
        <v>15549.32051</v>
      </c>
      <c r="AH44" s="72">
        <f t="shared" si="12"/>
        <v>15549.32051</v>
      </c>
      <c r="AI44" s="72">
        <f t="shared" si="12"/>
        <v>15549.32051</v>
      </c>
      <c r="AJ44" s="72">
        <f t="shared" si="12"/>
        <v>15549.32051</v>
      </c>
      <c r="AK44" s="75">
        <f t="shared" si="12"/>
        <v>15549.32051</v>
      </c>
      <c r="AL44" s="77">
        <f>+SUM(B44:AK44)</f>
        <v>720719.3385</v>
      </c>
      <c r="AM44" s="7"/>
      <c r="AN44" s="7"/>
      <c r="AO44" s="7"/>
    </row>
    <row r="45" ht="21.0" customHeight="1">
      <c r="A45" s="57"/>
      <c r="B45" s="11"/>
      <c r="C45" s="7"/>
      <c r="D45" s="7"/>
      <c r="E45" s="7"/>
      <c r="F45" s="7"/>
      <c r="G45" s="7"/>
      <c r="H45" s="7"/>
      <c r="I45" s="7"/>
      <c r="J45" s="7"/>
      <c r="K45" s="7"/>
      <c r="L45" s="7"/>
      <c r="M45" s="61">
        <f>SUM(B44:M44)</f>
        <v>261542.4462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61">
        <f>SUM(N44:Y44)</f>
        <v>272485.0462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61">
        <f>SUM(Z44:AK44)</f>
        <v>186691.8462</v>
      </c>
      <c r="AL45" s="57"/>
      <c r="AM45" s="7"/>
      <c r="AN45" s="7"/>
      <c r="AO45" s="7"/>
    </row>
    <row r="46" ht="21.0" customHeight="1">
      <c r="A46" s="57"/>
      <c r="B46" s="1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6"/>
      <c r="AL46" s="57"/>
      <c r="AM46" s="7"/>
      <c r="AN46" s="7"/>
      <c r="AO46" s="7"/>
    </row>
    <row r="47" ht="21.0" customHeight="1">
      <c r="A47" s="108" t="s">
        <v>95</v>
      </c>
      <c r="B47" s="109">
        <f t="shared" ref="B47:AK47" si="13">+B10-B44</f>
        <v>-10772.82051</v>
      </c>
      <c r="C47" s="110">
        <f t="shared" si="13"/>
        <v>-22415.42051</v>
      </c>
      <c r="D47" s="110">
        <f t="shared" si="13"/>
        <v>-22415.42051</v>
      </c>
      <c r="E47" s="110">
        <f t="shared" si="13"/>
        <v>-22415.42051</v>
      </c>
      <c r="F47" s="110">
        <f t="shared" si="13"/>
        <v>-24415.42051</v>
      </c>
      <c r="G47" s="110">
        <f t="shared" si="13"/>
        <v>-22715.42051</v>
      </c>
      <c r="H47" s="110">
        <f t="shared" si="13"/>
        <v>-19565.42051</v>
      </c>
      <c r="I47" s="110">
        <f t="shared" si="13"/>
        <v>-17515.42051</v>
      </c>
      <c r="J47" s="110">
        <f t="shared" si="13"/>
        <v>-14265.42051</v>
      </c>
      <c r="K47" s="110">
        <f t="shared" si="13"/>
        <v>-12965.42051</v>
      </c>
      <c r="L47" s="110">
        <f t="shared" si="13"/>
        <v>-11665.42051</v>
      </c>
      <c r="M47" s="110">
        <f t="shared" si="13"/>
        <v>-9715.420513</v>
      </c>
      <c r="N47" s="110">
        <f t="shared" si="13"/>
        <v>-9415.420513</v>
      </c>
      <c r="O47" s="110">
        <f t="shared" si="13"/>
        <v>-7015.420513</v>
      </c>
      <c r="P47" s="110">
        <f t="shared" si="13"/>
        <v>-5715.420513</v>
      </c>
      <c r="Q47" s="110">
        <f t="shared" si="13"/>
        <v>-4415.420513</v>
      </c>
      <c r="R47" s="110">
        <f t="shared" si="13"/>
        <v>-3765.420513</v>
      </c>
      <c r="S47" s="110">
        <f t="shared" si="13"/>
        <v>-3115.420513</v>
      </c>
      <c r="T47" s="110">
        <f t="shared" si="13"/>
        <v>-2465.420513</v>
      </c>
      <c r="U47" s="110">
        <f t="shared" si="13"/>
        <v>-1815.420513</v>
      </c>
      <c r="V47" s="110">
        <f t="shared" si="13"/>
        <v>-1165.420513</v>
      </c>
      <c r="W47" s="110">
        <f t="shared" si="13"/>
        <v>-515.4205128</v>
      </c>
      <c r="X47" s="110">
        <f t="shared" si="13"/>
        <v>134.5794872</v>
      </c>
      <c r="Y47" s="110">
        <f t="shared" si="13"/>
        <v>134.5794872</v>
      </c>
      <c r="Z47" s="110">
        <f t="shared" si="13"/>
        <v>7100.679487</v>
      </c>
      <c r="AA47" s="110">
        <f t="shared" si="13"/>
        <v>7200.679487</v>
      </c>
      <c r="AB47" s="110">
        <f t="shared" si="13"/>
        <v>7200.679487</v>
      </c>
      <c r="AC47" s="110">
        <f t="shared" si="13"/>
        <v>7200.679487</v>
      </c>
      <c r="AD47" s="110">
        <f t="shared" si="13"/>
        <v>7200.679487</v>
      </c>
      <c r="AE47" s="110">
        <f t="shared" si="13"/>
        <v>7200.679487</v>
      </c>
      <c r="AF47" s="110">
        <f t="shared" si="13"/>
        <v>7200.679487</v>
      </c>
      <c r="AG47" s="110">
        <f t="shared" si="13"/>
        <v>7200.679487</v>
      </c>
      <c r="AH47" s="110">
        <f t="shared" si="13"/>
        <v>7200.679487</v>
      </c>
      <c r="AI47" s="110">
        <f t="shared" si="13"/>
        <v>7200.679487</v>
      </c>
      <c r="AJ47" s="110">
        <f t="shared" si="13"/>
        <v>7200.679487</v>
      </c>
      <c r="AK47" s="111">
        <f t="shared" si="13"/>
        <v>7200.679487</v>
      </c>
      <c r="AL47" s="112">
        <f>+SUM(B47:AK47)</f>
        <v>-163669.3385</v>
      </c>
      <c r="AM47" s="7"/>
      <c r="AN47" s="7"/>
      <c r="AO47" s="7"/>
    </row>
    <row r="48" ht="21.0" customHeight="1">
      <c r="A48" s="57"/>
      <c r="B48" s="11"/>
      <c r="C48" s="7"/>
      <c r="D48" s="7"/>
      <c r="E48" s="7"/>
      <c r="F48" s="7"/>
      <c r="G48" s="7"/>
      <c r="H48" s="7"/>
      <c r="I48" s="7"/>
      <c r="J48" s="7"/>
      <c r="K48" s="7"/>
      <c r="L48" s="7"/>
      <c r="M48" s="61">
        <f>SUM(B47:M47)</f>
        <v>-210842.4462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61">
        <f>SUM(N47:Y47)</f>
        <v>-39135.04615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61">
        <f>SUM(Z47:AK47)</f>
        <v>86308.15385</v>
      </c>
      <c r="AL48" s="57"/>
      <c r="AM48" s="7"/>
      <c r="AN48" s="7"/>
      <c r="AO48" s="7"/>
    </row>
    <row r="49" ht="21.0" customHeight="1">
      <c r="A49" s="57" t="s">
        <v>122</v>
      </c>
      <c r="B49" s="1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6"/>
      <c r="AL49" s="57"/>
      <c r="AM49" s="7"/>
      <c r="AN49" s="7"/>
      <c r="AO49" s="7"/>
    </row>
    <row r="50" ht="21.0" customHeight="1">
      <c r="A50" s="19" t="s">
        <v>123</v>
      </c>
      <c r="B50" s="113">
        <v>0.0</v>
      </c>
      <c r="C50" s="72">
        <f t="shared" ref="C50:AK50" si="14">+B58</f>
        <v>180928.1751</v>
      </c>
      <c r="D50" s="72">
        <f t="shared" si="14"/>
        <v>160213.7503</v>
      </c>
      <c r="E50" s="72">
        <f t="shared" si="14"/>
        <v>139499.3254</v>
      </c>
      <c r="F50" s="72">
        <f t="shared" si="14"/>
        <v>118784.9005</v>
      </c>
      <c r="G50" s="72">
        <f t="shared" si="14"/>
        <v>96070.47566</v>
      </c>
      <c r="H50" s="72">
        <f t="shared" si="14"/>
        <v>75056.05079</v>
      </c>
      <c r="I50" s="72">
        <f t="shared" si="14"/>
        <v>57191.62592</v>
      </c>
      <c r="J50" s="72">
        <f t="shared" si="14"/>
        <v>41377.20105</v>
      </c>
      <c r="K50" s="72">
        <f t="shared" si="14"/>
        <v>28812.77618</v>
      </c>
      <c r="L50" s="72">
        <f t="shared" si="14"/>
        <v>17548.35132</v>
      </c>
      <c r="M50" s="72">
        <f t="shared" si="14"/>
        <v>7583.926448</v>
      </c>
      <c r="N50" s="72">
        <f t="shared" si="14"/>
        <v>-430.4984207</v>
      </c>
      <c r="O50" s="72">
        <f t="shared" si="14"/>
        <v>-8144.923289</v>
      </c>
      <c r="P50" s="72">
        <f t="shared" si="14"/>
        <v>-13459.34816</v>
      </c>
      <c r="Q50" s="72">
        <f t="shared" si="14"/>
        <v>-17473.77303</v>
      </c>
      <c r="R50" s="72">
        <f t="shared" si="14"/>
        <v>-20188.19789</v>
      </c>
      <c r="S50" s="72">
        <f t="shared" si="14"/>
        <v>-22252.62276</v>
      </c>
      <c r="T50" s="72">
        <f t="shared" si="14"/>
        <v>-23667.04763</v>
      </c>
      <c r="U50" s="72">
        <f t="shared" si="14"/>
        <v>-24431.4725</v>
      </c>
      <c r="V50" s="72">
        <f t="shared" si="14"/>
        <v>-24545.89737</v>
      </c>
      <c r="W50" s="72">
        <f t="shared" si="14"/>
        <v>-24010.32224</v>
      </c>
      <c r="X50" s="72">
        <f t="shared" si="14"/>
        <v>-22824.7471</v>
      </c>
      <c r="Y50" s="72">
        <f t="shared" si="14"/>
        <v>-20989.17197</v>
      </c>
      <c r="Z50" s="72">
        <f t="shared" si="14"/>
        <v>-19153.59684</v>
      </c>
      <c r="AA50" s="72">
        <f t="shared" si="14"/>
        <v>-10351.92171</v>
      </c>
      <c r="AB50" s="72">
        <f t="shared" si="14"/>
        <v>-1450.246578</v>
      </c>
      <c r="AC50" s="72">
        <f t="shared" si="14"/>
        <v>7451.428554</v>
      </c>
      <c r="AD50" s="72">
        <f t="shared" si="14"/>
        <v>16353.10369</v>
      </c>
      <c r="AE50" s="72">
        <f t="shared" si="14"/>
        <v>25254.77882</v>
      </c>
      <c r="AF50" s="72">
        <f t="shared" si="14"/>
        <v>34156.45395</v>
      </c>
      <c r="AG50" s="72">
        <f t="shared" si="14"/>
        <v>43058.12908</v>
      </c>
      <c r="AH50" s="72">
        <f t="shared" si="14"/>
        <v>51959.80421</v>
      </c>
      <c r="AI50" s="72">
        <f t="shared" si="14"/>
        <v>60861.47934</v>
      </c>
      <c r="AJ50" s="72">
        <f t="shared" si="14"/>
        <v>69763.15447</v>
      </c>
      <c r="AK50" s="75">
        <f t="shared" si="14"/>
        <v>78664.82961</v>
      </c>
      <c r="AL50" s="19"/>
      <c r="AM50" s="7"/>
      <c r="AN50" s="7"/>
      <c r="AO50" s="7"/>
    </row>
    <row r="51" ht="21.0" customHeight="1">
      <c r="A51" s="30" t="s">
        <v>125</v>
      </c>
      <c r="B51" s="115">
        <v>400000.0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8"/>
      <c r="AL51" s="57"/>
      <c r="AM51" s="7"/>
      <c r="AN51" s="7"/>
      <c r="AO51" s="7"/>
    </row>
    <row r="52" ht="21.0" customHeight="1">
      <c r="A52" s="30" t="s">
        <v>126</v>
      </c>
      <c r="B52" s="66">
        <f>+AO6</f>
        <v>1200000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8"/>
      <c r="AL52" s="57"/>
      <c r="AM52" s="7"/>
      <c r="AN52" s="7"/>
      <c r="AO52" s="7"/>
    </row>
    <row r="53" ht="21.0" customHeight="1">
      <c r="A53" s="30" t="s">
        <v>127</v>
      </c>
      <c r="B53" s="66">
        <f t="shared" ref="B53:AK53" si="15">+B47</f>
        <v>-10772.82051</v>
      </c>
      <c r="C53" s="61">
        <f t="shared" si="15"/>
        <v>-22415.42051</v>
      </c>
      <c r="D53" s="61">
        <f t="shared" si="15"/>
        <v>-22415.42051</v>
      </c>
      <c r="E53" s="61">
        <f t="shared" si="15"/>
        <v>-22415.42051</v>
      </c>
      <c r="F53" s="61">
        <f t="shared" si="15"/>
        <v>-24415.42051</v>
      </c>
      <c r="G53" s="61">
        <f t="shared" si="15"/>
        <v>-22715.42051</v>
      </c>
      <c r="H53" s="61">
        <f t="shared" si="15"/>
        <v>-19565.42051</v>
      </c>
      <c r="I53" s="61">
        <f t="shared" si="15"/>
        <v>-17515.42051</v>
      </c>
      <c r="J53" s="61">
        <f t="shared" si="15"/>
        <v>-14265.42051</v>
      </c>
      <c r="K53" s="61">
        <f t="shared" si="15"/>
        <v>-12965.42051</v>
      </c>
      <c r="L53" s="61">
        <f t="shared" si="15"/>
        <v>-11665.42051</v>
      </c>
      <c r="M53" s="61">
        <f t="shared" si="15"/>
        <v>-9715.420513</v>
      </c>
      <c r="N53" s="61">
        <f t="shared" si="15"/>
        <v>-9415.420513</v>
      </c>
      <c r="O53" s="61">
        <f t="shared" si="15"/>
        <v>-7015.420513</v>
      </c>
      <c r="P53" s="61">
        <f t="shared" si="15"/>
        <v>-5715.420513</v>
      </c>
      <c r="Q53" s="61">
        <f t="shared" si="15"/>
        <v>-4415.420513</v>
      </c>
      <c r="R53" s="61">
        <f t="shared" si="15"/>
        <v>-3765.420513</v>
      </c>
      <c r="S53" s="61">
        <f t="shared" si="15"/>
        <v>-3115.420513</v>
      </c>
      <c r="T53" s="61">
        <f t="shared" si="15"/>
        <v>-2465.420513</v>
      </c>
      <c r="U53" s="61">
        <f t="shared" si="15"/>
        <v>-1815.420513</v>
      </c>
      <c r="V53" s="61">
        <f t="shared" si="15"/>
        <v>-1165.420513</v>
      </c>
      <c r="W53" s="61">
        <f t="shared" si="15"/>
        <v>-515.4205128</v>
      </c>
      <c r="X53" s="61">
        <f t="shared" si="15"/>
        <v>134.5794872</v>
      </c>
      <c r="Y53" s="61">
        <f t="shared" si="15"/>
        <v>134.5794872</v>
      </c>
      <c r="Z53" s="61">
        <f t="shared" si="15"/>
        <v>7100.679487</v>
      </c>
      <c r="AA53" s="61">
        <f t="shared" si="15"/>
        <v>7200.679487</v>
      </c>
      <c r="AB53" s="61">
        <f t="shared" si="15"/>
        <v>7200.679487</v>
      </c>
      <c r="AC53" s="61">
        <f t="shared" si="15"/>
        <v>7200.679487</v>
      </c>
      <c r="AD53" s="61">
        <f t="shared" si="15"/>
        <v>7200.679487</v>
      </c>
      <c r="AE53" s="61">
        <f t="shared" si="15"/>
        <v>7200.679487</v>
      </c>
      <c r="AF53" s="61">
        <f t="shared" si="15"/>
        <v>7200.679487</v>
      </c>
      <c r="AG53" s="61">
        <f t="shared" si="15"/>
        <v>7200.679487</v>
      </c>
      <c r="AH53" s="61">
        <f t="shared" si="15"/>
        <v>7200.679487</v>
      </c>
      <c r="AI53" s="61">
        <f t="shared" si="15"/>
        <v>7200.679487</v>
      </c>
      <c r="AJ53" s="61">
        <f t="shared" si="15"/>
        <v>7200.679487</v>
      </c>
      <c r="AK53" s="68">
        <f t="shared" si="15"/>
        <v>7200.679487</v>
      </c>
      <c r="AL53" s="57"/>
      <c r="AM53" s="7"/>
      <c r="AN53" s="7"/>
      <c r="AO53" s="7"/>
    </row>
    <row r="54" ht="21.0" customHeight="1">
      <c r="A54" s="30" t="s">
        <v>128</v>
      </c>
      <c r="B54" s="66">
        <f>+'36 Month Capital Expenditures'!B12</f>
        <v>3012.820513</v>
      </c>
      <c r="C54" s="61">
        <f>+'36 Month Capital Expenditures'!C12</f>
        <v>3012.820513</v>
      </c>
      <c r="D54" s="61">
        <f>+'36 Month Capital Expenditures'!D12</f>
        <v>3012.820513</v>
      </c>
      <c r="E54" s="61">
        <f>+'36 Month Capital Expenditures'!E12</f>
        <v>3012.820513</v>
      </c>
      <c r="F54" s="61">
        <f>+'36 Month Capital Expenditures'!F12</f>
        <v>3012.820513</v>
      </c>
      <c r="G54" s="61">
        <f>+'36 Month Capital Expenditures'!G12</f>
        <v>3012.820513</v>
      </c>
      <c r="H54" s="61">
        <f>+'36 Month Capital Expenditures'!H12</f>
        <v>3012.820513</v>
      </c>
      <c r="I54" s="61">
        <f>+'36 Month Capital Expenditures'!I12</f>
        <v>3012.820513</v>
      </c>
      <c r="J54" s="61">
        <f>+'36 Month Capital Expenditures'!J12</f>
        <v>3012.820513</v>
      </c>
      <c r="K54" s="61">
        <f>+'36 Month Capital Expenditures'!K12</f>
        <v>3012.820513</v>
      </c>
      <c r="L54" s="61">
        <f>+'36 Month Capital Expenditures'!L12</f>
        <v>3012.820513</v>
      </c>
      <c r="M54" s="61">
        <f>+'36 Month Capital Expenditures'!M12</f>
        <v>3012.820513</v>
      </c>
      <c r="N54" s="61">
        <f>+'36 Month Capital Expenditures'!N12</f>
        <v>3012.820513</v>
      </c>
      <c r="O54" s="61">
        <f>+'36 Month Capital Expenditures'!O12</f>
        <v>3012.820513</v>
      </c>
      <c r="P54" s="61">
        <f>+'36 Month Capital Expenditures'!P12</f>
        <v>3012.820513</v>
      </c>
      <c r="Q54" s="61">
        <f>+'36 Month Capital Expenditures'!Q12</f>
        <v>3012.820513</v>
      </c>
      <c r="R54" s="61">
        <f>+'36 Month Capital Expenditures'!R12</f>
        <v>3012.820513</v>
      </c>
      <c r="S54" s="61">
        <f>+'36 Month Capital Expenditures'!S12</f>
        <v>3012.820513</v>
      </c>
      <c r="T54" s="61">
        <f>+'36 Month Capital Expenditures'!T12</f>
        <v>3012.820513</v>
      </c>
      <c r="U54" s="61">
        <f>+'36 Month Capital Expenditures'!U12</f>
        <v>3012.820513</v>
      </c>
      <c r="V54" s="61">
        <f>+'36 Month Capital Expenditures'!V12</f>
        <v>3012.820513</v>
      </c>
      <c r="W54" s="61">
        <f>+'36 Month Capital Expenditures'!W12</f>
        <v>3012.820513</v>
      </c>
      <c r="X54" s="61">
        <f>+'36 Month Capital Expenditures'!X12</f>
        <v>3012.820513</v>
      </c>
      <c r="Y54" s="61">
        <f>+'36 Month Capital Expenditures'!Y12</f>
        <v>3012.820513</v>
      </c>
      <c r="Z54" s="61">
        <f>+'36 Month Capital Expenditures'!Z12</f>
        <v>3012.820513</v>
      </c>
      <c r="AA54" s="61">
        <f>+'36 Month Capital Expenditures'!AA12</f>
        <v>3012.820513</v>
      </c>
      <c r="AB54" s="61">
        <f>+'36 Month Capital Expenditures'!AB12</f>
        <v>3012.820513</v>
      </c>
      <c r="AC54" s="61">
        <f>+'36 Month Capital Expenditures'!AC12</f>
        <v>3012.820513</v>
      </c>
      <c r="AD54" s="61">
        <f>+'36 Month Capital Expenditures'!AD12</f>
        <v>3012.820513</v>
      </c>
      <c r="AE54" s="61">
        <f>+'36 Month Capital Expenditures'!AE12</f>
        <v>3012.820513</v>
      </c>
      <c r="AF54" s="61">
        <f>+'36 Month Capital Expenditures'!AF12</f>
        <v>3012.820513</v>
      </c>
      <c r="AG54" s="61">
        <f>+'36 Month Capital Expenditures'!AG12</f>
        <v>3012.820513</v>
      </c>
      <c r="AH54" s="61">
        <f>+'36 Month Capital Expenditures'!AH12</f>
        <v>3012.820513</v>
      </c>
      <c r="AI54" s="61">
        <f>+'36 Month Capital Expenditures'!AI12</f>
        <v>3012.820513</v>
      </c>
      <c r="AJ54" s="61">
        <f>+'36 Month Capital Expenditures'!AJ12</f>
        <v>3012.820513</v>
      </c>
      <c r="AK54" s="68">
        <f>+'36 Month Capital Expenditures'!AK12</f>
        <v>3012.820513</v>
      </c>
      <c r="AL54" s="57"/>
      <c r="AM54" s="7"/>
      <c r="AN54" s="7"/>
      <c r="AO54" s="7"/>
    </row>
    <row r="55" ht="21.0" customHeight="1">
      <c r="A55" s="30" t="s">
        <v>129</v>
      </c>
      <c r="B55" s="66">
        <f>+'36 Month Capital Expenditures'!B10</f>
        <v>1410000</v>
      </c>
      <c r="C55" s="61">
        <f>+'36 Month Capital Expenditures'!C10</f>
        <v>0</v>
      </c>
      <c r="D55" s="61">
        <f>+'36 Month Capital Expenditures'!D10</f>
        <v>0</v>
      </c>
      <c r="E55" s="61">
        <f>+'36 Month Capital Expenditures'!E10</f>
        <v>0</v>
      </c>
      <c r="F55" s="61">
        <f>+'36 Month Capital Expenditures'!F10</f>
        <v>0</v>
      </c>
      <c r="G55" s="61">
        <f>+'36 Month Capital Expenditures'!G10</f>
        <v>0</v>
      </c>
      <c r="H55" s="61">
        <f>+'36 Month Capital Expenditures'!H10</f>
        <v>0</v>
      </c>
      <c r="I55" s="61">
        <f>+'36 Month Capital Expenditures'!I10</f>
        <v>0</v>
      </c>
      <c r="J55" s="61">
        <f>+'36 Month Capital Expenditures'!J10</f>
        <v>0</v>
      </c>
      <c r="K55" s="61">
        <f>+'36 Month Capital Expenditures'!K10</f>
        <v>0</v>
      </c>
      <c r="L55" s="61">
        <f>+'36 Month Capital Expenditures'!L10</f>
        <v>0</v>
      </c>
      <c r="M55" s="61">
        <f>+'36 Month Capital Expenditures'!M10</f>
        <v>0</v>
      </c>
      <c r="N55" s="61">
        <f>+'36 Month Capital Expenditures'!N10</f>
        <v>0</v>
      </c>
      <c r="O55" s="61">
        <f>+'36 Month Capital Expenditures'!O10</f>
        <v>0</v>
      </c>
      <c r="P55" s="61">
        <f>+'36 Month Capital Expenditures'!P10</f>
        <v>0</v>
      </c>
      <c r="Q55" s="61">
        <f>+'36 Month Capital Expenditures'!Q10</f>
        <v>0</v>
      </c>
      <c r="R55" s="61">
        <f>+'36 Month Capital Expenditures'!R10</f>
        <v>0</v>
      </c>
      <c r="S55" s="61">
        <f>+'36 Month Capital Expenditures'!S10</f>
        <v>0</v>
      </c>
      <c r="T55" s="61">
        <f>+'36 Month Capital Expenditures'!T10</f>
        <v>0</v>
      </c>
      <c r="U55" s="61">
        <f>+'36 Month Capital Expenditures'!U10</f>
        <v>0</v>
      </c>
      <c r="V55" s="61">
        <f>+'36 Month Capital Expenditures'!V10</f>
        <v>0</v>
      </c>
      <c r="W55" s="61">
        <f>+'36 Month Capital Expenditures'!W10</f>
        <v>0</v>
      </c>
      <c r="X55" s="61">
        <f>+'36 Month Capital Expenditures'!X10</f>
        <v>0</v>
      </c>
      <c r="Y55" s="61">
        <f>+'36 Month Capital Expenditures'!Y10</f>
        <v>0</v>
      </c>
      <c r="Z55" s="61">
        <f>+'36 Month Capital Expenditures'!Z10</f>
        <v>0</v>
      </c>
      <c r="AA55" s="61">
        <f>+'36 Month Capital Expenditures'!AA10</f>
        <v>0</v>
      </c>
      <c r="AB55" s="61">
        <f>+'36 Month Capital Expenditures'!AB10</f>
        <v>0</v>
      </c>
      <c r="AC55" s="61">
        <f>+'36 Month Capital Expenditures'!AC10</f>
        <v>0</v>
      </c>
      <c r="AD55" s="61">
        <f>+'36 Month Capital Expenditures'!AD10</f>
        <v>0</v>
      </c>
      <c r="AE55" s="61">
        <f>+'36 Month Capital Expenditures'!AE10</f>
        <v>0</v>
      </c>
      <c r="AF55" s="61">
        <f>+'36 Month Capital Expenditures'!AF10</f>
        <v>0</v>
      </c>
      <c r="AG55" s="61">
        <f>+'36 Month Capital Expenditures'!AG10</f>
        <v>0</v>
      </c>
      <c r="AH55" s="61">
        <f>+'36 Month Capital Expenditures'!AH10</f>
        <v>0</v>
      </c>
      <c r="AI55" s="61">
        <f>+'36 Month Capital Expenditures'!AI10</f>
        <v>0</v>
      </c>
      <c r="AJ55" s="61">
        <f>+'36 Month Capital Expenditures'!AJ10</f>
        <v>0</v>
      </c>
      <c r="AK55" s="68">
        <f>+'36 Month Capital Expenditures'!AK10</f>
        <v>0</v>
      </c>
      <c r="AL55" s="57"/>
      <c r="AM55" s="7"/>
      <c r="AN55" s="7"/>
      <c r="AO55" s="7"/>
    </row>
    <row r="56" ht="21.0" customHeight="1">
      <c r="A56" s="30" t="s">
        <v>130</v>
      </c>
      <c r="B56" s="66">
        <f t="shared" ref="B56:AK56" si="16">IF($AO$6=0,0,(-PMT($AO$7/12,$AO$8,$AO$6,0,0)-B28))</f>
        <v>1311.824868</v>
      </c>
      <c r="C56" s="61">
        <f t="shared" si="16"/>
        <v>1311.824868</v>
      </c>
      <c r="D56" s="61">
        <f t="shared" si="16"/>
        <v>1311.824868</v>
      </c>
      <c r="E56" s="61">
        <f t="shared" si="16"/>
        <v>1311.824868</v>
      </c>
      <c r="F56" s="61">
        <f t="shared" si="16"/>
        <v>1311.824868</v>
      </c>
      <c r="G56" s="61">
        <f t="shared" si="16"/>
        <v>1311.824868</v>
      </c>
      <c r="H56" s="61">
        <f t="shared" si="16"/>
        <v>1311.824868</v>
      </c>
      <c r="I56" s="61">
        <f t="shared" si="16"/>
        <v>1311.824868</v>
      </c>
      <c r="J56" s="61">
        <f t="shared" si="16"/>
        <v>1311.824868</v>
      </c>
      <c r="K56" s="61">
        <f t="shared" si="16"/>
        <v>1311.824868</v>
      </c>
      <c r="L56" s="61">
        <f t="shared" si="16"/>
        <v>1311.824868</v>
      </c>
      <c r="M56" s="61">
        <f t="shared" si="16"/>
        <v>1311.824868</v>
      </c>
      <c r="N56" s="61">
        <f t="shared" si="16"/>
        <v>1311.824868</v>
      </c>
      <c r="O56" s="61">
        <f t="shared" si="16"/>
        <v>1311.824868</v>
      </c>
      <c r="P56" s="61">
        <f t="shared" si="16"/>
        <v>1311.824868</v>
      </c>
      <c r="Q56" s="61">
        <f t="shared" si="16"/>
        <v>1311.824868</v>
      </c>
      <c r="R56" s="61">
        <f t="shared" si="16"/>
        <v>1311.824868</v>
      </c>
      <c r="S56" s="61">
        <f t="shared" si="16"/>
        <v>1311.824868</v>
      </c>
      <c r="T56" s="61">
        <f t="shared" si="16"/>
        <v>1311.824868</v>
      </c>
      <c r="U56" s="61">
        <f t="shared" si="16"/>
        <v>1311.824868</v>
      </c>
      <c r="V56" s="61">
        <f t="shared" si="16"/>
        <v>1311.824868</v>
      </c>
      <c r="W56" s="61">
        <f t="shared" si="16"/>
        <v>1311.824868</v>
      </c>
      <c r="X56" s="61">
        <f t="shared" si="16"/>
        <v>1311.824868</v>
      </c>
      <c r="Y56" s="61">
        <f t="shared" si="16"/>
        <v>1311.824868</v>
      </c>
      <c r="Z56" s="61">
        <f t="shared" si="16"/>
        <v>1311.824868</v>
      </c>
      <c r="AA56" s="61">
        <f t="shared" si="16"/>
        <v>1311.824868</v>
      </c>
      <c r="AB56" s="61">
        <f t="shared" si="16"/>
        <v>1311.824868</v>
      </c>
      <c r="AC56" s="61">
        <f t="shared" si="16"/>
        <v>1311.824868</v>
      </c>
      <c r="AD56" s="61">
        <f t="shared" si="16"/>
        <v>1311.824868</v>
      </c>
      <c r="AE56" s="61">
        <f t="shared" si="16"/>
        <v>1311.824868</v>
      </c>
      <c r="AF56" s="61">
        <f t="shared" si="16"/>
        <v>1311.824868</v>
      </c>
      <c r="AG56" s="61">
        <f t="shared" si="16"/>
        <v>1311.824868</v>
      </c>
      <c r="AH56" s="61">
        <f t="shared" si="16"/>
        <v>1311.824868</v>
      </c>
      <c r="AI56" s="61">
        <f t="shared" si="16"/>
        <v>1311.824868</v>
      </c>
      <c r="AJ56" s="61">
        <f t="shared" si="16"/>
        <v>1311.824868</v>
      </c>
      <c r="AK56" s="61">
        <f t="shared" si="16"/>
        <v>1311.824868</v>
      </c>
      <c r="AL56" s="57"/>
      <c r="AM56" s="7"/>
      <c r="AN56" s="7"/>
      <c r="AO56" s="7"/>
    </row>
    <row r="57" ht="21.0" customHeight="1">
      <c r="A57" s="30" t="s">
        <v>131</v>
      </c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8"/>
      <c r="AL57" s="57"/>
      <c r="AM57" s="7"/>
      <c r="AN57" s="7"/>
      <c r="AO57" s="7"/>
    </row>
    <row r="58" ht="21.0" customHeight="1">
      <c r="A58" s="117" t="s">
        <v>132</v>
      </c>
      <c r="B58" s="118">
        <f t="shared" ref="B58:AK58" si="17">+B50+B51+B52+B53+B54-B55-B56-B57</f>
        <v>180928.1751</v>
      </c>
      <c r="C58" s="119">
        <f t="shared" si="17"/>
        <v>160213.7503</v>
      </c>
      <c r="D58" s="119">
        <f t="shared" si="17"/>
        <v>139499.3254</v>
      </c>
      <c r="E58" s="119">
        <f t="shared" si="17"/>
        <v>118784.9005</v>
      </c>
      <c r="F58" s="119">
        <f t="shared" si="17"/>
        <v>96070.47566</v>
      </c>
      <c r="G58" s="119">
        <f t="shared" si="17"/>
        <v>75056.05079</v>
      </c>
      <c r="H58" s="119">
        <f t="shared" si="17"/>
        <v>57191.62592</v>
      </c>
      <c r="I58" s="119">
        <f t="shared" si="17"/>
        <v>41377.20105</v>
      </c>
      <c r="J58" s="119">
        <f t="shared" si="17"/>
        <v>28812.77618</v>
      </c>
      <c r="K58" s="119">
        <f t="shared" si="17"/>
        <v>17548.35132</v>
      </c>
      <c r="L58" s="119">
        <f t="shared" si="17"/>
        <v>7583.926448</v>
      </c>
      <c r="M58" s="119">
        <f t="shared" si="17"/>
        <v>-430.4984207</v>
      </c>
      <c r="N58" s="119">
        <f t="shared" si="17"/>
        <v>-8144.923289</v>
      </c>
      <c r="O58" s="119">
        <f t="shared" si="17"/>
        <v>-13459.34816</v>
      </c>
      <c r="P58" s="119">
        <f t="shared" si="17"/>
        <v>-17473.77303</v>
      </c>
      <c r="Q58" s="119">
        <f t="shared" si="17"/>
        <v>-20188.19789</v>
      </c>
      <c r="R58" s="119">
        <f t="shared" si="17"/>
        <v>-22252.62276</v>
      </c>
      <c r="S58" s="119">
        <f t="shared" si="17"/>
        <v>-23667.04763</v>
      </c>
      <c r="T58" s="119">
        <f t="shared" si="17"/>
        <v>-24431.4725</v>
      </c>
      <c r="U58" s="119">
        <f t="shared" si="17"/>
        <v>-24545.89737</v>
      </c>
      <c r="V58" s="119">
        <f t="shared" si="17"/>
        <v>-24010.32224</v>
      </c>
      <c r="W58" s="119">
        <f t="shared" si="17"/>
        <v>-22824.7471</v>
      </c>
      <c r="X58" s="119">
        <f t="shared" si="17"/>
        <v>-20989.17197</v>
      </c>
      <c r="Y58" s="119">
        <f t="shared" si="17"/>
        <v>-19153.59684</v>
      </c>
      <c r="Z58" s="119">
        <f t="shared" si="17"/>
        <v>-10351.92171</v>
      </c>
      <c r="AA58" s="119">
        <f t="shared" si="17"/>
        <v>-1450.246578</v>
      </c>
      <c r="AB58" s="119">
        <f t="shared" si="17"/>
        <v>7451.428554</v>
      </c>
      <c r="AC58" s="119">
        <f t="shared" si="17"/>
        <v>16353.10369</v>
      </c>
      <c r="AD58" s="119">
        <f t="shared" si="17"/>
        <v>25254.77882</v>
      </c>
      <c r="AE58" s="119">
        <f t="shared" si="17"/>
        <v>34156.45395</v>
      </c>
      <c r="AF58" s="119">
        <f t="shared" si="17"/>
        <v>43058.12908</v>
      </c>
      <c r="AG58" s="119">
        <f t="shared" si="17"/>
        <v>51959.80421</v>
      </c>
      <c r="AH58" s="119">
        <f t="shared" si="17"/>
        <v>60861.47934</v>
      </c>
      <c r="AI58" s="119">
        <f t="shared" si="17"/>
        <v>69763.15447</v>
      </c>
      <c r="AJ58" s="119">
        <f t="shared" si="17"/>
        <v>78664.82961</v>
      </c>
      <c r="AK58" s="120">
        <f t="shared" si="17"/>
        <v>87566.50474</v>
      </c>
      <c r="AL58" s="117"/>
      <c r="AM58" s="121"/>
      <c r="AN58" s="7"/>
      <c r="AO58" s="7"/>
    </row>
    <row r="59" ht="21.0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7"/>
      <c r="AO59" s="7"/>
    </row>
    <row r="60" ht="21.0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</row>
    <row r="61" ht="21.0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</row>
    <row r="62" ht="21.0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</row>
    <row r="63" ht="21.0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</row>
    <row r="64" ht="21.0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</row>
    <row r="65" ht="21.0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</row>
    <row r="66" ht="21.0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</row>
    <row r="67" ht="21.0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</row>
    <row r="68" ht="21.0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</row>
    <row r="69" ht="21.0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</row>
    <row r="70" ht="21.0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</row>
    <row r="71" ht="21.0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</row>
    <row r="72" ht="21.0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</row>
    <row r="73" ht="21.0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</row>
    <row r="74" ht="21.0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</row>
    <row r="75" ht="21.0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</row>
    <row r="76" ht="21.0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</row>
    <row r="77" ht="21.0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</row>
    <row r="78" ht="21.0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</row>
    <row r="79" ht="21.0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</row>
    <row r="80" ht="21.0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</row>
    <row r="81" ht="21.0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</row>
    <row r="82" ht="21.0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</row>
    <row r="83" ht="21.0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</row>
    <row r="84" ht="21.0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</row>
    <row r="85" ht="21.0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</row>
    <row r="86" ht="21.0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</row>
    <row r="87" ht="21.0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</row>
    <row r="88" ht="21.0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</row>
    <row r="89" ht="21.0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</row>
    <row r="90" ht="21.0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</row>
    <row r="91" ht="21.0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</row>
    <row r="92" ht="21.0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</row>
    <row r="93" ht="21.0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</row>
    <row r="94" ht="21.0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</row>
    <row r="95" ht="21.0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</row>
    <row r="96" ht="21.0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</row>
    <row r="97" ht="21.0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</row>
    <row r="98" ht="21.0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</row>
    <row r="99" ht="21.0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</row>
    <row r="100" ht="21.0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</row>
    <row r="101" ht="21.0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</row>
    <row r="102" ht="21.0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</row>
    <row r="103" ht="21.0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</row>
    <row r="104" ht="21.0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</row>
    <row r="105" ht="21.0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</row>
    <row r="106" ht="21.0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</row>
    <row r="107" ht="21.0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</row>
    <row r="108" ht="21.0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</row>
    <row r="109" ht="21.0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</row>
    <row r="110" ht="21.0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</row>
    <row r="111" ht="21.0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</row>
    <row r="112" ht="21.0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</row>
    <row r="113" ht="21.0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</row>
    <row r="114" ht="21.0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</row>
    <row r="115" ht="21.0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</row>
    <row r="116" ht="21.0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</row>
    <row r="117" ht="21.0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</row>
    <row r="118" ht="21.0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</row>
    <row r="119" ht="21.0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</row>
    <row r="120" ht="21.0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</row>
    <row r="121" ht="21.0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</row>
    <row r="122" ht="21.0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</row>
    <row r="123" ht="21.0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</row>
    <row r="124" ht="21.0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</row>
    <row r="125" ht="21.0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</row>
    <row r="126" ht="21.0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</row>
    <row r="127" ht="21.0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</row>
    <row r="128" ht="21.0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</row>
    <row r="129" ht="21.0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</row>
    <row r="130" ht="21.0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</row>
    <row r="131" ht="21.0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</row>
    <row r="132" ht="21.0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</row>
    <row r="133" ht="21.0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</row>
    <row r="134" ht="21.0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</row>
    <row r="135" ht="21.0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</row>
    <row r="136" ht="21.0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</row>
    <row r="137" ht="21.0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</row>
    <row r="138" ht="21.0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</row>
    <row r="139" ht="21.0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</row>
    <row r="140" ht="21.0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</row>
    <row r="141" ht="21.0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</row>
    <row r="142" ht="21.0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</row>
    <row r="143" ht="21.0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</row>
    <row r="144" ht="21.0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</row>
    <row r="145" ht="21.0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</row>
    <row r="146" ht="21.0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</row>
    <row r="147" ht="21.0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</row>
    <row r="148" ht="21.0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</row>
    <row r="149" ht="21.0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</row>
    <row r="150" ht="21.0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</row>
    <row r="151" ht="21.0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</row>
    <row r="152" ht="21.0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</row>
    <row r="153" ht="21.0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</row>
    <row r="154" ht="21.0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</row>
    <row r="155" ht="21.0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</row>
    <row r="156" ht="21.0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</row>
    <row r="157" ht="21.0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</row>
    <row r="158" ht="21.0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</row>
    <row r="159" ht="21.0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</row>
    <row r="160" ht="21.0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</row>
    <row r="161" ht="21.0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</row>
    <row r="162" ht="21.0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</row>
    <row r="163" ht="21.0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</row>
    <row r="164" ht="21.0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</row>
    <row r="165" ht="21.0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</row>
    <row r="166" ht="21.0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</row>
    <row r="167" ht="21.0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</row>
    <row r="168" ht="21.0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</row>
    <row r="169" ht="21.0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</row>
    <row r="170" ht="21.0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</row>
    <row r="171" ht="21.0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</row>
    <row r="172" ht="21.0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</row>
    <row r="173" ht="21.0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</row>
    <row r="174" ht="21.0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</row>
    <row r="175" ht="21.0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</row>
    <row r="176" ht="21.0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</row>
    <row r="177" ht="21.0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</row>
    <row r="178" ht="21.0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</row>
    <row r="179" ht="21.0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</row>
    <row r="180" ht="21.0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</row>
    <row r="181" ht="21.0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</row>
    <row r="182" ht="21.0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</row>
    <row r="183" ht="21.0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</row>
    <row r="184" ht="21.0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</row>
    <row r="185" ht="21.0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</row>
    <row r="186" ht="21.0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</row>
    <row r="187" ht="21.0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</row>
    <row r="188" ht="21.0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</row>
    <row r="189" ht="21.0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</row>
    <row r="190" ht="21.0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</row>
    <row r="191" ht="21.0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</row>
    <row r="192" ht="21.0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</row>
    <row r="193" ht="21.0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</row>
    <row r="194" ht="21.0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</row>
    <row r="195" ht="21.0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</row>
    <row r="196" ht="21.0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</row>
    <row r="197" ht="21.0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</row>
    <row r="198" ht="21.0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</row>
    <row r="199" ht="21.0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</row>
    <row r="200" ht="21.0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</row>
    <row r="201" ht="21.0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</row>
    <row r="202" ht="21.0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</row>
    <row r="203" ht="21.0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</row>
    <row r="204" ht="21.0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</row>
    <row r="205" ht="21.0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</row>
    <row r="206" ht="21.0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</row>
    <row r="207" ht="21.0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</row>
    <row r="208" ht="21.0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</row>
    <row r="209" ht="21.0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</row>
    <row r="210" ht="21.0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</row>
    <row r="211" ht="21.0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</row>
    <row r="212" ht="21.0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</row>
    <row r="213" ht="21.0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</row>
    <row r="214" ht="21.0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</row>
    <row r="215" ht="21.0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</row>
    <row r="216" ht="21.0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</row>
    <row r="217" ht="21.0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</row>
    <row r="218" ht="21.0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</row>
    <row r="219" ht="21.0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</row>
    <row r="220" ht="21.0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</row>
    <row r="221" ht="21.0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</row>
    <row r="222" ht="21.0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</row>
    <row r="223" ht="21.0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</row>
    <row r="224" ht="21.0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</row>
    <row r="225" ht="21.0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</row>
    <row r="226" ht="21.0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</row>
    <row r="227" ht="21.0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</row>
    <row r="228" ht="21.0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</row>
    <row r="229" ht="21.0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</row>
    <row r="230" ht="21.0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</row>
    <row r="231" ht="21.0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</row>
    <row r="232" ht="21.0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</row>
    <row r="233" ht="21.0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</row>
    <row r="234" ht="21.0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</row>
    <row r="235" ht="21.0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</row>
    <row r="236" ht="21.0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</row>
    <row r="237" ht="21.0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</row>
    <row r="238" ht="21.0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</row>
    <row r="239" ht="21.0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</row>
    <row r="240" ht="21.0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</row>
    <row r="241" ht="21.0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</row>
    <row r="242" ht="21.0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</row>
    <row r="243" ht="21.0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</row>
    <row r="244" ht="21.0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</row>
    <row r="245" ht="21.0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</row>
    <row r="246" ht="21.0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</row>
    <row r="247" ht="21.0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</row>
    <row r="248" ht="21.0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</row>
    <row r="249" ht="21.0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</row>
    <row r="250" ht="21.0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</row>
    <row r="251" ht="21.0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</row>
    <row r="252" ht="21.0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</row>
    <row r="253" ht="21.0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</row>
    <row r="254" ht="21.0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</row>
    <row r="255" ht="21.0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</row>
    <row r="256" ht="21.0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</row>
    <row r="257" ht="21.0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</row>
    <row r="258" ht="21.0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</row>
    <row r="259" ht="21.0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</row>
    <row r="260" ht="21.0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</row>
    <row r="261" ht="21.0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</row>
    <row r="262" ht="21.0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</row>
    <row r="263" ht="21.0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</row>
    <row r="264" ht="21.0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</row>
    <row r="265" ht="21.0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</row>
    <row r="266" ht="21.0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</row>
    <row r="267" ht="21.0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</row>
    <row r="268" ht="21.0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</row>
    <row r="269" ht="21.0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</row>
    <row r="270" ht="21.0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</row>
    <row r="271" ht="21.0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</row>
    <row r="272" ht="21.0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</row>
    <row r="273" ht="21.0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</row>
    <row r="274" ht="21.0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</row>
    <row r="275" ht="21.0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</row>
    <row r="276" ht="21.0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</row>
    <row r="277" ht="21.0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</row>
    <row r="278" ht="21.0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</row>
    <row r="279" ht="21.0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</row>
    <row r="280" ht="21.0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</row>
    <row r="281" ht="21.0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</row>
    <row r="282" ht="21.0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</row>
    <row r="283" ht="21.0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</row>
    <row r="284" ht="21.0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</row>
    <row r="285" ht="21.0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</row>
    <row r="286" ht="21.0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</row>
    <row r="287" ht="21.0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</row>
    <row r="288" ht="21.0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</row>
    <row r="289" ht="21.0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</row>
    <row r="290" ht="21.0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</row>
    <row r="291" ht="21.0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</row>
    <row r="292" ht="21.0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</row>
    <row r="293" ht="21.0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</row>
    <row r="294" ht="21.0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</row>
    <row r="295" ht="21.0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</row>
    <row r="296" ht="21.0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</row>
    <row r="297" ht="21.0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</row>
    <row r="298" ht="21.0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</row>
    <row r="299" ht="21.0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</row>
    <row r="300" ht="21.0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</row>
    <row r="301" ht="21.0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</row>
    <row r="302" ht="21.0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</row>
    <row r="303" ht="21.0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</row>
    <row r="304" ht="21.0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</row>
    <row r="305" ht="21.0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</row>
    <row r="306" ht="21.0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</row>
    <row r="307" ht="21.0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</row>
    <row r="308" ht="21.0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</row>
    <row r="309" ht="21.0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</row>
    <row r="310" ht="21.0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</row>
    <row r="311" ht="21.0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</row>
    <row r="312" ht="21.0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</row>
    <row r="313" ht="21.0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</row>
    <row r="314" ht="21.0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</row>
    <row r="315" ht="21.0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</row>
    <row r="316" ht="21.0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</row>
    <row r="317" ht="21.0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</row>
    <row r="318" ht="21.0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</row>
    <row r="319" ht="21.0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</row>
    <row r="320" ht="21.0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</row>
    <row r="321" ht="21.0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</row>
    <row r="322" ht="21.0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</row>
    <row r="323" ht="21.0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</row>
    <row r="324" ht="21.0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</row>
    <row r="325" ht="21.0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</row>
    <row r="326" ht="21.0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</row>
    <row r="327" ht="21.0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</row>
    <row r="328" ht="21.0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</row>
    <row r="329" ht="21.0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</row>
    <row r="330" ht="21.0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</row>
    <row r="331" ht="21.0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</row>
    <row r="332" ht="21.0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</row>
    <row r="333" ht="21.0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</row>
    <row r="334" ht="21.0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</row>
    <row r="335" ht="21.0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</row>
    <row r="336" ht="21.0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</row>
    <row r="337" ht="21.0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</row>
    <row r="338" ht="21.0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</row>
    <row r="339" ht="21.0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</row>
    <row r="340" ht="21.0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</row>
    <row r="341" ht="21.0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</row>
    <row r="342" ht="21.0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</row>
    <row r="343" ht="21.0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</row>
    <row r="344" ht="21.0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</row>
    <row r="345" ht="21.0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</row>
    <row r="346" ht="21.0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</row>
    <row r="347" ht="21.0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</row>
    <row r="348" ht="21.0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</row>
    <row r="349" ht="21.0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</row>
    <row r="350" ht="21.0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</row>
    <row r="351" ht="21.0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</row>
    <row r="352" ht="21.0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</row>
    <row r="353" ht="21.0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</row>
    <row r="354" ht="21.0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</row>
    <row r="355" ht="21.0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</row>
    <row r="356" ht="21.0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</row>
    <row r="357" ht="21.0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</row>
    <row r="358" ht="21.0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</row>
    <row r="359" ht="21.0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</row>
    <row r="360" ht="21.0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</row>
    <row r="361" ht="21.0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</row>
    <row r="362" ht="21.0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</row>
    <row r="363" ht="21.0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</row>
    <row r="364" ht="21.0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</row>
    <row r="365" ht="21.0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</row>
    <row r="366" ht="21.0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</row>
    <row r="367" ht="21.0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</row>
    <row r="368" ht="21.0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</row>
    <row r="369" ht="21.0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</row>
    <row r="370" ht="21.0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</row>
    <row r="371" ht="21.0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</row>
    <row r="372" ht="21.0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</row>
    <row r="373" ht="21.0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</row>
    <row r="374" ht="21.0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</row>
    <row r="375" ht="21.0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</row>
    <row r="376" ht="21.0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</row>
    <row r="377" ht="21.0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</row>
    <row r="378" ht="21.0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</row>
    <row r="379" ht="21.0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</row>
    <row r="380" ht="21.0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</row>
    <row r="381" ht="21.0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</row>
    <row r="382" ht="21.0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</row>
    <row r="383" ht="21.0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</row>
    <row r="384" ht="21.0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</row>
    <row r="385" ht="21.0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</row>
    <row r="386" ht="21.0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</row>
    <row r="387" ht="21.0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</row>
    <row r="388" ht="21.0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</row>
    <row r="389" ht="21.0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</row>
    <row r="390" ht="21.0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</row>
    <row r="391" ht="21.0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</row>
    <row r="392" ht="21.0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</row>
    <row r="393" ht="21.0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</row>
    <row r="394" ht="21.0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</row>
    <row r="395" ht="21.0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</row>
    <row r="396" ht="21.0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</row>
    <row r="397" ht="21.0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</row>
    <row r="398" ht="21.0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</row>
    <row r="399" ht="21.0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</row>
    <row r="400" ht="21.0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</row>
    <row r="401" ht="21.0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</row>
    <row r="402" ht="21.0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</row>
    <row r="403" ht="21.0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</row>
    <row r="404" ht="21.0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</row>
    <row r="405" ht="21.0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</row>
    <row r="406" ht="21.0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</row>
    <row r="407" ht="21.0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</row>
    <row r="408" ht="21.0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</row>
    <row r="409" ht="21.0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</row>
    <row r="410" ht="21.0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</row>
    <row r="411" ht="21.0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</row>
    <row r="412" ht="21.0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</row>
    <row r="413" ht="21.0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</row>
    <row r="414" ht="21.0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</row>
    <row r="415" ht="21.0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</row>
    <row r="416" ht="21.0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</row>
    <row r="417" ht="21.0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</row>
    <row r="418" ht="21.0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</row>
    <row r="419" ht="21.0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</row>
    <row r="420" ht="21.0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</row>
    <row r="421" ht="21.0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</row>
    <row r="422" ht="21.0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</row>
    <row r="423" ht="21.0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</row>
    <row r="424" ht="21.0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</row>
    <row r="425" ht="21.0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</row>
    <row r="426" ht="21.0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</row>
    <row r="427" ht="21.0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</row>
    <row r="428" ht="21.0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</row>
    <row r="429" ht="21.0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</row>
    <row r="430" ht="21.0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</row>
    <row r="431" ht="21.0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</row>
    <row r="432" ht="21.0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</row>
    <row r="433" ht="21.0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</row>
    <row r="434" ht="21.0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</row>
    <row r="435" ht="21.0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</row>
    <row r="436" ht="21.0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</row>
    <row r="437" ht="21.0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</row>
    <row r="438" ht="21.0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</row>
    <row r="439" ht="21.0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</row>
    <row r="440" ht="21.0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</row>
    <row r="441" ht="21.0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</row>
    <row r="442" ht="21.0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</row>
    <row r="443" ht="21.0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</row>
    <row r="444" ht="21.0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</row>
    <row r="445" ht="21.0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</row>
    <row r="446" ht="21.0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</row>
    <row r="447" ht="21.0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</row>
    <row r="448" ht="21.0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</row>
    <row r="449" ht="21.0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</row>
    <row r="450" ht="21.0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</row>
    <row r="451" ht="21.0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</row>
    <row r="452" ht="21.0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</row>
    <row r="453" ht="21.0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</row>
    <row r="454" ht="21.0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</row>
    <row r="455" ht="21.0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</row>
    <row r="456" ht="21.0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</row>
    <row r="457" ht="21.0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</row>
    <row r="458" ht="21.0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</row>
    <row r="459" ht="21.0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</row>
    <row r="460" ht="21.0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</row>
    <row r="461" ht="21.0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</row>
    <row r="462" ht="21.0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</row>
    <row r="463" ht="21.0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</row>
    <row r="464" ht="21.0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</row>
    <row r="465" ht="21.0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</row>
    <row r="466" ht="21.0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</row>
    <row r="467" ht="21.0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</row>
    <row r="468" ht="21.0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</row>
    <row r="469" ht="21.0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</row>
    <row r="470" ht="21.0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</row>
    <row r="471" ht="21.0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</row>
    <row r="472" ht="21.0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</row>
    <row r="473" ht="21.0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</row>
    <row r="474" ht="21.0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</row>
    <row r="475" ht="21.0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</row>
    <row r="476" ht="21.0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</row>
    <row r="477" ht="21.0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</row>
    <row r="478" ht="21.0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</row>
    <row r="479" ht="21.0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</row>
    <row r="480" ht="21.0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</row>
    <row r="481" ht="21.0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</row>
    <row r="482" ht="21.0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</row>
    <row r="483" ht="21.0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</row>
    <row r="484" ht="21.0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</row>
    <row r="485" ht="21.0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</row>
    <row r="486" ht="21.0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</row>
    <row r="487" ht="21.0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</row>
    <row r="488" ht="21.0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</row>
    <row r="489" ht="21.0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</row>
    <row r="490" ht="21.0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</row>
    <row r="491" ht="21.0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</row>
    <row r="492" ht="21.0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</row>
    <row r="493" ht="21.0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</row>
    <row r="494" ht="21.0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</row>
    <row r="495" ht="21.0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</row>
    <row r="496" ht="21.0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</row>
    <row r="497" ht="21.0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</row>
    <row r="498" ht="21.0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</row>
    <row r="499" ht="21.0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</row>
    <row r="500" ht="21.0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</row>
    <row r="501" ht="21.0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</row>
    <row r="502" ht="21.0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</row>
    <row r="503" ht="21.0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</row>
    <row r="504" ht="21.0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</row>
    <row r="505" ht="21.0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</row>
    <row r="506" ht="21.0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</row>
    <row r="507" ht="21.0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</row>
    <row r="508" ht="21.0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</row>
    <row r="509" ht="21.0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</row>
    <row r="510" ht="21.0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</row>
    <row r="511" ht="21.0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</row>
    <row r="512" ht="21.0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</row>
    <row r="513" ht="21.0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</row>
    <row r="514" ht="21.0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</row>
    <row r="515" ht="21.0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</row>
    <row r="516" ht="21.0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</row>
    <row r="517" ht="21.0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</row>
    <row r="518" ht="21.0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</row>
    <row r="519" ht="21.0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</row>
    <row r="520" ht="21.0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</row>
    <row r="521" ht="21.0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</row>
    <row r="522" ht="21.0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</row>
    <row r="523" ht="21.0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</row>
    <row r="524" ht="21.0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</row>
    <row r="525" ht="21.0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</row>
    <row r="526" ht="21.0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</row>
    <row r="527" ht="21.0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</row>
    <row r="528" ht="21.0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</row>
    <row r="529" ht="21.0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</row>
    <row r="530" ht="21.0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</row>
    <row r="531" ht="21.0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</row>
    <row r="532" ht="21.0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</row>
    <row r="533" ht="21.0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</row>
    <row r="534" ht="21.0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</row>
    <row r="535" ht="21.0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</row>
    <row r="536" ht="21.0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</row>
    <row r="537" ht="21.0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</row>
    <row r="538" ht="21.0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</row>
    <row r="539" ht="21.0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</row>
    <row r="540" ht="21.0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</row>
    <row r="541" ht="21.0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</row>
    <row r="542" ht="21.0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</row>
    <row r="543" ht="21.0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</row>
    <row r="544" ht="21.0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</row>
    <row r="545" ht="21.0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</row>
    <row r="546" ht="21.0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</row>
    <row r="547" ht="21.0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</row>
    <row r="548" ht="21.0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</row>
    <row r="549" ht="21.0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</row>
    <row r="550" ht="21.0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</row>
    <row r="551" ht="21.0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</row>
    <row r="552" ht="21.0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</row>
    <row r="553" ht="21.0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</row>
    <row r="554" ht="21.0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</row>
    <row r="555" ht="21.0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</row>
    <row r="556" ht="21.0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</row>
    <row r="557" ht="21.0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</row>
    <row r="558" ht="21.0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</row>
    <row r="559" ht="21.0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</row>
    <row r="560" ht="21.0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</row>
    <row r="561" ht="21.0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</row>
    <row r="562" ht="21.0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</row>
    <row r="563" ht="21.0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</row>
    <row r="564" ht="21.0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</row>
    <row r="565" ht="21.0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</row>
    <row r="566" ht="21.0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</row>
    <row r="567" ht="21.0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</row>
    <row r="568" ht="21.0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</row>
    <row r="569" ht="21.0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</row>
    <row r="570" ht="21.0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</row>
    <row r="571" ht="21.0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</row>
    <row r="572" ht="21.0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</row>
    <row r="573" ht="21.0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</row>
    <row r="574" ht="21.0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</row>
    <row r="575" ht="21.0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</row>
    <row r="576" ht="21.0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</row>
    <row r="577" ht="21.0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</row>
    <row r="578" ht="21.0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</row>
    <row r="579" ht="21.0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</row>
    <row r="580" ht="21.0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</row>
    <row r="581" ht="21.0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</row>
    <row r="582" ht="21.0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</row>
    <row r="583" ht="21.0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</row>
    <row r="584" ht="21.0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</row>
    <row r="585" ht="21.0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</row>
    <row r="586" ht="21.0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</row>
    <row r="587" ht="21.0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</row>
    <row r="588" ht="21.0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</row>
    <row r="589" ht="21.0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</row>
    <row r="590" ht="21.0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</row>
    <row r="591" ht="21.0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</row>
    <row r="592" ht="21.0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</row>
    <row r="593" ht="21.0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</row>
    <row r="594" ht="21.0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</row>
    <row r="595" ht="21.0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</row>
    <row r="596" ht="21.0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</row>
    <row r="597" ht="21.0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</row>
    <row r="598" ht="21.0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</row>
    <row r="599" ht="21.0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</row>
    <row r="600" ht="21.0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</row>
    <row r="601" ht="21.0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</row>
    <row r="602" ht="21.0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</row>
    <row r="603" ht="21.0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</row>
    <row r="604" ht="21.0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</row>
    <row r="605" ht="21.0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</row>
    <row r="606" ht="21.0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</row>
    <row r="607" ht="21.0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</row>
    <row r="608" ht="21.0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</row>
    <row r="609" ht="21.0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</row>
    <row r="610" ht="21.0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</row>
    <row r="611" ht="21.0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</row>
    <row r="612" ht="21.0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</row>
    <row r="613" ht="21.0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</row>
    <row r="614" ht="21.0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</row>
    <row r="615" ht="21.0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</row>
    <row r="616" ht="21.0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</row>
    <row r="617" ht="21.0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</row>
    <row r="618" ht="21.0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</row>
    <row r="619" ht="21.0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</row>
    <row r="620" ht="21.0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</row>
    <row r="621" ht="21.0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</row>
    <row r="622" ht="21.0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</row>
    <row r="623" ht="21.0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</row>
    <row r="624" ht="21.0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</row>
    <row r="625" ht="21.0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</row>
    <row r="626" ht="21.0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</row>
    <row r="627" ht="21.0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</row>
    <row r="628" ht="21.0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</row>
    <row r="629" ht="21.0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</row>
    <row r="630" ht="21.0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</row>
    <row r="631" ht="21.0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</row>
    <row r="632" ht="21.0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</row>
    <row r="633" ht="21.0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</row>
    <row r="634" ht="21.0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</row>
    <row r="635" ht="21.0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</row>
    <row r="636" ht="21.0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</row>
    <row r="637" ht="21.0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</row>
    <row r="638" ht="21.0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</row>
    <row r="639" ht="21.0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</row>
    <row r="640" ht="21.0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</row>
    <row r="641" ht="21.0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</row>
    <row r="642" ht="21.0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</row>
    <row r="643" ht="21.0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</row>
    <row r="644" ht="21.0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</row>
    <row r="645" ht="21.0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</row>
    <row r="646" ht="21.0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</row>
    <row r="647" ht="21.0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</row>
    <row r="648" ht="21.0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</row>
    <row r="649" ht="21.0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</row>
    <row r="650" ht="21.0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</row>
    <row r="651" ht="21.0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</row>
    <row r="652" ht="21.0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</row>
    <row r="653" ht="21.0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</row>
    <row r="654" ht="21.0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</row>
    <row r="655" ht="21.0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</row>
    <row r="656" ht="21.0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</row>
    <row r="657" ht="21.0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</row>
    <row r="658" ht="21.0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</row>
    <row r="659" ht="21.0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</row>
    <row r="660" ht="21.0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</row>
    <row r="661" ht="21.0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</row>
    <row r="662" ht="21.0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</row>
    <row r="663" ht="21.0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</row>
    <row r="664" ht="21.0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</row>
    <row r="665" ht="21.0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</row>
    <row r="666" ht="21.0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</row>
    <row r="667" ht="21.0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</row>
    <row r="668" ht="21.0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</row>
    <row r="669" ht="21.0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</row>
    <row r="670" ht="21.0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</row>
    <row r="671" ht="21.0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</row>
    <row r="672" ht="21.0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</row>
    <row r="673" ht="21.0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</row>
    <row r="674" ht="21.0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</row>
    <row r="675" ht="21.0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</row>
    <row r="676" ht="21.0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</row>
    <row r="677" ht="21.0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</row>
    <row r="678" ht="21.0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</row>
    <row r="679" ht="21.0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</row>
    <row r="680" ht="21.0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</row>
    <row r="681" ht="21.0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</row>
    <row r="682" ht="21.0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</row>
    <row r="683" ht="21.0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</row>
    <row r="684" ht="21.0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</row>
    <row r="685" ht="21.0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</row>
    <row r="686" ht="21.0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</row>
    <row r="687" ht="21.0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</row>
    <row r="688" ht="21.0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</row>
    <row r="689" ht="21.0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</row>
    <row r="690" ht="21.0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</row>
    <row r="691" ht="21.0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</row>
    <row r="692" ht="21.0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</row>
    <row r="693" ht="21.0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</row>
    <row r="694" ht="21.0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</row>
    <row r="695" ht="21.0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</row>
    <row r="696" ht="21.0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</row>
    <row r="697" ht="21.0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</row>
    <row r="698" ht="21.0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</row>
    <row r="699" ht="21.0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</row>
    <row r="700" ht="21.0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</row>
    <row r="701" ht="21.0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</row>
    <row r="702" ht="21.0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</row>
    <row r="703" ht="21.0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</row>
    <row r="704" ht="21.0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</row>
    <row r="705" ht="21.0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</row>
    <row r="706" ht="21.0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</row>
    <row r="707" ht="21.0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</row>
    <row r="708" ht="21.0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</row>
    <row r="709" ht="21.0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</row>
    <row r="710" ht="21.0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</row>
    <row r="711" ht="21.0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</row>
    <row r="712" ht="21.0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</row>
    <row r="713" ht="21.0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</row>
    <row r="714" ht="21.0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</row>
    <row r="715" ht="21.0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</row>
    <row r="716" ht="21.0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</row>
    <row r="717" ht="21.0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</row>
    <row r="718" ht="21.0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</row>
    <row r="719" ht="21.0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</row>
    <row r="720" ht="21.0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</row>
    <row r="721" ht="21.0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</row>
    <row r="722" ht="21.0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</row>
    <row r="723" ht="21.0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</row>
    <row r="724" ht="21.0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</row>
    <row r="725" ht="21.0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</row>
    <row r="726" ht="21.0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</row>
    <row r="727" ht="21.0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</row>
    <row r="728" ht="21.0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</row>
    <row r="729" ht="21.0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</row>
    <row r="730" ht="21.0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</row>
    <row r="731" ht="21.0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</row>
    <row r="732" ht="21.0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</row>
    <row r="733" ht="21.0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</row>
    <row r="734" ht="21.0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</row>
    <row r="735" ht="21.0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</row>
    <row r="736" ht="21.0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</row>
    <row r="737" ht="21.0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</row>
    <row r="738" ht="21.0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</row>
    <row r="739" ht="21.0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</row>
    <row r="740" ht="21.0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</row>
    <row r="741" ht="21.0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</row>
    <row r="742" ht="21.0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</row>
    <row r="743" ht="21.0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</row>
    <row r="744" ht="21.0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</row>
    <row r="745" ht="21.0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</row>
    <row r="746" ht="21.0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</row>
    <row r="747" ht="21.0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</row>
    <row r="748" ht="21.0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</row>
    <row r="749" ht="21.0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</row>
    <row r="750" ht="21.0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</row>
    <row r="751" ht="21.0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</row>
    <row r="752" ht="21.0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</row>
    <row r="753" ht="21.0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</row>
    <row r="754" ht="21.0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</row>
    <row r="755" ht="21.0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</row>
    <row r="756" ht="21.0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</row>
    <row r="757" ht="21.0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</row>
    <row r="758" ht="21.0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</row>
    <row r="759" ht="21.0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</row>
    <row r="760" ht="21.0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</row>
    <row r="761" ht="21.0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</row>
    <row r="762" ht="21.0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</row>
    <row r="763" ht="21.0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</row>
    <row r="764" ht="21.0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</row>
    <row r="765" ht="21.0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</row>
    <row r="766" ht="21.0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</row>
    <row r="767" ht="21.0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</row>
    <row r="768" ht="21.0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</row>
    <row r="769" ht="21.0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</row>
    <row r="770" ht="21.0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</row>
    <row r="771" ht="21.0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</row>
    <row r="772" ht="21.0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</row>
    <row r="773" ht="21.0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</row>
    <row r="774" ht="21.0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</row>
    <row r="775" ht="21.0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</row>
    <row r="776" ht="21.0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</row>
    <row r="777" ht="21.0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</row>
    <row r="778" ht="21.0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</row>
    <row r="779" ht="21.0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</row>
    <row r="780" ht="21.0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</row>
    <row r="781" ht="21.0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</row>
    <row r="782" ht="21.0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</row>
    <row r="783" ht="21.0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</row>
    <row r="784" ht="21.0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</row>
    <row r="785" ht="21.0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</row>
    <row r="786" ht="21.0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</row>
    <row r="787" ht="21.0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</row>
    <row r="788" ht="21.0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</row>
    <row r="789" ht="21.0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</row>
    <row r="790" ht="21.0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</row>
    <row r="791" ht="21.0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</row>
    <row r="792" ht="21.0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</row>
    <row r="793" ht="21.0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</row>
    <row r="794" ht="21.0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</row>
    <row r="795" ht="21.0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</row>
    <row r="796" ht="21.0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</row>
    <row r="797" ht="21.0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</row>
    <row r="798" ht="21.0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</row>
    <row r="799" ht="21.0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</row>
    <row r="800" ht="21.0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</row>
    <row r="801" ht="21.0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</row>
    <row r="802" ht="21.0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</row>
    <row r="803" ht="21.0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</row>
    <row r="804" ht="21.0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</row>
    <row r="805" ht="21.0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</row>
    <row r="806" ht="21.0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</row>
    <row r="807" ht="21.0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</row>
    <row r="808" ht="21.0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</row>
    <row r="809" ht="21.0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</row>
    <row r="810" ht="21.0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</row>
    <row r="811" ht="21.0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</row>
    <row r="812" ht="21.0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</row>
    <row r="813" ht="21.0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</row>
    <row r="814" ht="21.0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</row>
    <row r="815" ht="21.0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</row>
    <row r="816" ht="21.0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</row>
    <row r="817" ht="21.0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</row>
    <row r="818" ht="21.0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</row>
    <row r="819" ht="21.0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</row>
    <row r="820" ht="21.0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</row>
    <row r="821" ht="21.0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</row>
    <row r="822" ht="21.0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</row>
    <row r="823" ht="21.0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</row>
    <row r="824" ht="21.0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</row>
    <row r="825" ht="21.0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</row>
    <row r="826" ht="21.0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</row>
    <row r="827" ht="21.0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</row>
    <row r="828" ht="21.0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</row>
    <row r="829" ht="21.0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</row>
    <row r="830" ht="21.0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</row>
    <row r="831" ht="21.0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</row>
    <row r="832" ht="21.0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</row>
    <row r="833" ht="21.0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</row>
    <row r="834" ht="21.0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</row>
    <row r="835" ht="21.0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</row>
    <row r="836" ht="21.0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</row>
    <row r="837" ht="21.0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</row>
    <row r="838" ht="21.0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</row>
    <row r="839" ht="21.0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</row>
    <row r="840" ht="21.0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</row>
    <row r="841" ht="21.0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</row>
    <row r="842" ht="21.0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</row>
    <row r="843" ht="21.0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</row>
    <row r="844" ht="21.0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</row>
    <row r="845" ht="21.0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</row>
    <row r="846" ht="21.0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</row>
    <row r="847" ht="21.0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</row>
    <row r="848" ht="21.0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</row>
    <row r="849" ht="21.0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</row>
    <row r="850" ht="21.0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</row>
    <row r="851" ht="21.0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</row>
    <row r="852" ht="21.0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</row>
    <row r="853" ht="21.0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</row>
    <row r="854" ht="21.0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</row>
    <row r="855" ht="21.0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</row>
    <row r="856" ht="21.0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</row>
    <row r="857" ht="21.0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</row>
    <row r="858" ht="21.0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</row>
    <row r="859" ht="21.0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</row>
    <row r="860" ht="21.0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</row>
    <row r="861" ht="21.0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</row>
    <row r="862" ht="21.0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</row>
    <row r="863" ht="21.0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</row>
    <row r="864" ht="21.0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</row>
    <row r="865" ht="21.0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</row>
    <row r="866" ht="21.0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</row>
    <row r="867" ht="21.0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</row>
    <row r="868" ht="21.0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</row>
    <row r="869" ht="21.0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</row>
    <row r="870" ht="21.0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</row>
    <row r="871" ht="21.0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</row>
    <row r="872" ht="21.0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</row>
    <row r="873" ht="21.0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</row>
    <row r="874" ht="21.0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</row>
    <row r="875" ht="21.0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</row>
    <row r="876" ht="21.0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</row>
    <row r="877" ht="21.0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</row>
    <row r="878" ht="21.0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</row>
    <row r="879" ht="21.0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</row>
    <row r="880" ht="21.0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</row>
    <row r="881" ht="21.0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</row>
    <row r="882" ht="21.0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</row>
    <row r="883" ht="21.0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</row>
    <row r="884" ht="21.0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</row>
    <row r="885" ht="21.0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</row>
    <row r="886" ht="21.0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</row>
    <row r="887" ht="21.0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</row>
    <row r="888" ht="21.0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</row>
    <row r="889" ht="21.0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</row>
    <row r="890" ht="21.0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</row>
    <row r="891" ht="21.0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</row>
    <row r="892" ht="21.0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</row>
    <row r="893" ht="21.0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</row>
    <row r="894" ht="21.0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</row>
    <row r="895" ht="21.0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</row>
    <row r="896" ht="21.0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</row>
    <row r="897" ht="21.0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</row>
    <row r="898" ht="21.0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</row>
    <row r="899" ht="21.0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</row>
    <row r="900" ht="21.0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</row>
    <row r="901" ht="21.0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</row>
    <row r="902" ht="21.0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</row>
    <row r="903" ht="21.0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</row>
    <row r="904" ht="21.0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</row>
    <row r="905" ht="21.0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</row>
    <row r="906" ht="21.0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</row>
    <row r="907" ht="21.0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</row>
    <row r="908" ht="21.0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</row>
    <row r="909" ht="21.0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</row>
    <row r="910" ht="21.0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</row>
    <row r="911" ht="21.0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</row>
    <row r="912" ht="21.0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</row>
    <row r="913" ht="21.0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</row>
    <row r="914" ht="21.0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</row>
    <row r="915" ht="21.0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</row>
    <row r="916" ht="21.0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</row>
    <row r="917" ht="21.0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</row>
    <row r="918" ht="21.0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</row>
    <row r="919" ht="21.0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</row>
    <row r="920" ht="21.0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</row>
    <row r="921" ht="21.0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</row>
    <row r="922" ht="21.0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</row>
    <row r="923" ht="21.0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</row>
    <row r="924" ht="21.0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</row>
    <row r="925" ht="21.0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</row>
    <row r="926" ht="21.0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</row>
    <row r="927" ht="21.0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</row>
    <row r="928" ht="21.0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</row>
    <row r="929" ht="21.0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</row>
    <row r="930" ht="21.0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</row>
    <row r="931" ht="21.0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</row>
    <row r="932" ht="21.0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</row>
    <row r="933" ht="21.0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</row>
    <row r="934" ht="21.0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</row>
    <row r="935" ht="21.0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</row>
    <row r="936" ht="21.0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</row>
    <row r="937" ht="21.0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</row>
    <row r="938" ht="21.0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</row>
    <row r="939" ht="21.0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</row>
    <row r="940" ht="21.0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</row>
    <row r="941" ht="21.0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</row>
    <row r="942" ht="21.0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</row>
    <row r="943" ht="21.0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</row>
    <row r="944" ht="21.0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</row>
    <row r="945" ht="21.0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</row>
    <row r="946" ht="21.0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</row>
    <row r="947" ht="21.0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</row>
    <row r="948" ht="21.0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  <c r="AO948" s="121"/>
    </row>
    <row r="949" ht="21.0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  <c r="AO949" s="121"/>
    </row>
    <row r="950" ht="21.0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  <c r="AO950" s="121"/>
    </row>
    <row r="951" ht="21.0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  <c r="AL951" s="121"/>
      <c r="AM951" s="121"/>
      <c r="AN951" s="121"/>
      <c r="AO951" s="121"/>
    </row>
    <row r="952" ht="21.0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  <c r="AL952" s="121"/>
      <c r="AM952" s="121"/>
      <c r="AN952" s="121"/>
      <c r="AO952" s="121"/>
    </row>
    <row r="953" ht="21.0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  <c r="AL953" s="121"/>
      <c r="AM953" s="121"/>
      <c r="AN953" s="121"/>
      <c r="AO953" s="121"/>
    </row>
    <row r="954" ht="21.0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  <c r="AL954" s="121"/>
      <c r="AM954" s="121"/>
      <c r="AN954" s="121"/>
      <c r="AO954" s="121"/>
    </row>
    <row r="955" ht="21.0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  <c r="AL955" s="121"/>
      <c r="AM955" s="121"/>
      <c r="AN955" s="121"/>
      <c r="AO955" s="121"/>
    </row>
    <row r="956" ht="21.0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</row>
    <row r="957" ht="21.0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</row>
    <row r="958" ht="21.0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  <c r="AL958" s="121"/>
      <c r="AM958" s="121"/>
      <c r="AN958" s="121"/>
      <c r="AO958" s="121"/>
    </row>
    <row r="959" ht="21.0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  <c r="AL959" s="121"/>
      <c r="AM959" s="121"/>
      <c r="AN959" s="121"/>
      <c r="AO959" s="121"/>
    </row>
    <row r="960" ht="21.0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</row>
    <row r="961" ht="21.0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</row>
    <row r="962" ht="21.0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</row>
    <row r="963" ht="21.0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</row>
    <row r="964" ht="21.0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</row>
    <row r="965" ht="21.0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</row>
    <row r="966" ht="21.0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</row>
    <row r="967" ht="21.0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</row>
    <row r="968" ht="21.0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</row>
    <row r="969" ht="21.0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</row>
    <row r="970" ht="21.0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  <c r="AL970" s="121"/>
      <c r="AM970" s="121"/>
      <c r="AN970" s="121"/>
      <c r="AO970" s="121"/>
    </row>
    <row r="971" ht="21.0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  <c r="AL971" s="121"/>
      <c r="AM971" s="121"/>
      <c r="AN971" s="121"/>
      <c r="AO971" s="121"/>
    </row>
    <row r="972" ht="21.0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  <c r="AL972" s="121"/>
      <c r="AM972" s="121"/>
      <c r="AN972" s="121"/>
      <c r="AO972" s="121"/>
    </row>
    <row r="973" ht="21.0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  <c r="AL973" s="121"/>
      <c r="AM973" s="121"/>
      <c r="AN973" s="121"/>
      <c r="AO973" s="121"/>
    </row>
    <row r="974" ht="21.0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  <c r="AL974" s="121"/>
      <c r="AM974" s="121"/>
      <c r="AN974" s="121"/>
      <c r="AO974" s="121"/>
    </row>
    <row r="975" ht="21.0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  <c r="AL975" s="121"/>
      <c r="AM975" s="121"/>
      <c r="AN975" s="121"/>
      <c r="AO975" s="121"/>
    </row>
    <row r="976" ht="21.0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  <c r="AL976" s="121"/>
      <c r="AM976" s="121"/>
      <c r="AN976" s="121"/>
      <c r="AO976" s="121"/>
    </row>
    <row r="977" ht="21.0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  <c r="AL977" s="121"/>
      <c r="AM977" s="121"/>
      <c r="AN977" s="121"/>
      <c r="AO977" s="121"/>
    </row>
    <row r="978" ht="21.0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  <c r="AL978" s="121"/>
      <c r="AM978" s="121"/>
      <c r="AN978" s="121"/>
      <c r="AO978" s="121"/>
    </row>
    <row r="979" ht="21.0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  <c r="AL979" s="121"/>
      <c r="AM979" s="121"/>
      <c r="AN979" s="121"/>
      <c r="AO979" s="121"/>
    </row>
    <row r="980" ht="21.0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  <c r="AL980" s="121"/>
      <c r="AM980" s="121"/>
      <c r="AN980" s="121"/>
      <c r="AO980" s="121"/>
    </row>
    <row r="981" ht="21.0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  <c r="AL981" s="121"/>
      <c r="AM981" s="121"/>
      <c r="AN981" s="121"/>
      <c r="AO981" s="121"/>
    </row>
    <row r="982" ht="21.0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  <c r="AL982" s="121"/>
      <c r="AM982" s="121"/>
      <c r="AN982" s="121"/>
      <c r="AO982" s="121"/>
    </row>
    <row r="983" ht="21.0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  <c r="AL983" s="121"/>
      <c r="AM983" s="121"/>
      <c r="AN983" s="121"/>
      <c r="AO983" s="121"/>
    </row>
    <row r="984" ht="21.0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  <c r="AL984" s="121"/>
      <c r="AM984" s="121"/>
      <c r="AN984" s="121"/>
      <c r="AO984" s="121"/>
    </row>
    <row r="985" ht="21.0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  <c r="AL985" s="121"/>
      <c r="AM985" s="121"/>
      <c r="AN985" s="121"/>
      <c r="AO985" s="121"/>
    </row>
    <row r="986" ht="21.0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  <c r="AL986" s="121"/>
      <c r="AM986" s="121"/>
      <c r="AN986" s="121"/>
      <c r="AO986" s="121"/>
    </row>
    <row r="987" ht="21.0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1"/>
      <c r="AG987" s="121"/>
      <c r="AH987" s="121"/>
      <c r="AI987" s="121"/>
      <c r="AJ987" s="121"/>
      <c r="AK987" s="121"/>
      <c r="AL987" s="121"/>
      <c r="AM987" s="121"/>
      <c r="AN987" s="121"/>
      <c r="AO987" s="121"/>
    </row>
    <row r="988" ht="21.0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1"/>
      <c r="AG988" s="121"/>
      <c r="AH988" s="121"/>
      <c r="AI988" s="121"/>
      <c r="AJ988" s="121"/>
      <c r="AK988" s="121"/>
      <c r="AL988" s="121"/>
      <c r="AM988" s="121"/>
      <c r="AN988" s="121"/>
      <c r="AO988" s="121"/>
    </row>
    <row r="989" ht="21.0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1"/>
      <c r="AG989" s="121"/>
      <c r="AH989" s="121"/>
      <c r="AI989" s="121"/>
      <c r="AJ989" s="121"/>
      <c r="AK989" s="121"/>
      <c r="AL989" s="121"/>
      <c r="AM989" s="121"/>
      <c r="AN989" s="121"/>
      <c r="AO989" s="121"/>
    </row>
    <row r="990" ht="21.0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1"/>
      <c r="AG990" s="121"/>
      <c r="AH990" s="121"/>
      <c r="AI990" s="121"/>
      <c r="AJ990" s="121"/>
      <c r="AK990" s="121"/>
      <c r="AL990" s="121"/>
      <c r="AM990" s="121"/>
      <c r="AN990" s="121"/>
      <c r="AO990" s="121"/>
    </row>
    <row r="991" ht="21.0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1"/>
      <c r="AG991" s="121"/>
      <c r="AH991" s="121"/>
      <c r="AI991" s="121"/>
      <c r="AJ991" s="121"/>
      <c r="AK991" s="121"/>
      <c r="AL991" s="121"/>
      <c r="AM991" s="121"/>
      <c r="AN991" s="121"/>
      <c r="AO991" s="121"/>
    </row>
    <row r="992" ht="21.0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  <c r="AD992" s="121"/>
      <c r="AE992" s="121"/>
      <c r="AF992" s="121"/>
      <c r="AG992" s="121"/>
      <c r="AH992" s="121"/>
      <c r="AI992" s="121"/>
      <c r="AJ992" s="121"/>
      <c r="AK992" s="121"/>
      <c r="AL992" s="121"/>
      <c r="AM992" s="121"/>
      <c r="AN992" s="121"/>
      <c r="AO992" s="121"/>
    </row>
    <row r="993" ht="21.0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  <c r="AD993" s="121"/>
      <c r="AE993" s="121"/>
      <c r="AF993" s="121"/>
      <c r="AG993" s="121"/>
      <c r="AH993" s="121"/>
      <c r="AI993" s="121"/>
      <c r="AJ993" s="121"/>
      <c r="AK993" s="121"/>
      <c r="AL993" s="121"/>
      <c r="AM993" s="121"/>
      <c r="AN993" s="121"/>
      <c r="AO993" s="121"/>
    </row>
    <row r="994" ht="21.0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</row>
    <row r="995" ht="21.0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</row>
    <row r="996" ht="21.0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1"/>
      <c r="AG996" s="121"/>
      <c r="AH996" s="121"/>
      <c r="AI996" s="121"/>
      <c r="AJ996" s="121"/>
      <c r="AK996" s="121"/>
      <c r="AL996" s="121"/>
      <c r="AM996" s="121"/>
      <c r="AN996" s="121"/>
      <c r="AO996" s="121"/>
    </row>
    <row r="997" ht="21.0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1"/>
      <c r="AL997" s="121"/>
      <c r="AM997" s="121"/>
      <c r="AN997" s="121"/>
      <c r="AO997" s="121"/>
    </row>
    <row r="998" ht="21.0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</row>
    <row r="999" ht="21.0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</row>
    <row r="1000" ht="21.0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</row>
  </sheetData>
  <printOptions/>
  <pageMargins bottom="0.75" footer="0.0" header="0.0" left="0.7" right="0.7" top="0.75"/>
  <pageSetup orientation="landscape"/>
  <rowBreaks count="1" manualBreakCount="1">
    <brk id="46" man="1"/>
  </rowBreaks>
  <colBreaks count="1" manualBreakCount="1">
    <brk id="3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0"/>
    <col customWidth="1" min="2" max="2" width="12.43"/>
    <col customWidth="1" min="3" max="37" width="11.71"/>
    <col customWidth="1" min="38" max="38" width="12.43"/>
    <col customWidth="1" min="39" max="39" width="8.86"/>
    <col customWidth="1" min="40" max="40" width="22.0"/>
    <col customWidth="1" min="41" max="41" width="12.43"/>
  </cols>
  <sheetData>
    <row r="1">
      <c r="A1" s="1" t="s">
        <v>1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8"/>
      <c r="AL1" s="10"/>
      <c r="AM1" s="15"/>
      <c r="AN1" s="3"/>
      <c r="AO1" s="8"/>
    </row>
    <row r="2">
      <c r="A2" s="12"/>
      <c r="B2" s="13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14" t="s">
        <v>27</v>
      </c>
      <c r="AA2" s="14" t="s">
        <v>28</v>
      </c>
      <c r="AB2" s="14" t="s">
        <v>29</v>
      </c>
      <c r="AC2" s="14" t="s">
        <v>30</v>
      </c>
      <c r="AD2" s="14" t="s">
        <v>31</v>
      </c>
      <c r="AE2" s="14" t="s">
        <v>32</v>
      </c>
      <c r="AF2" s="14" t="s">
        <v>33</v>
      </c>
      <c r="AG2" s="14" t="s">
        <v>34</v>
      </c>
      <c r="AH2" s="14" t="s">
        <v>35</v>
      </c>
      <c r="AI2" s="14" t="s">
        <v>36</v>
      </c>
      <c r="AJ2" s="14" t="s">
        <v>37</v>
      </c>
      <c r="AK2" s="20" t="s">
        <v>38</v>
      </c>
      <c r="AL2" s="12"/>
      <c r="AM2" s="15"/>
      <c r="AN2" s="21" t="s">
        <v>42</v>
      </c>
      <c r="AO2" s="23"/>
    </row>
    <row r="3">
      <c r="A3" s="25" t="s">
        <v>44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20"/>
      <c r="AL3" s="12"/>
      <c r="AM3" s="15"/>
      <c r="AN3" s="3" t="s">
        <v>46</v>
      </c>
      <c r="AO3" s="29"/>
    </row>
    <row r="4">
      <c r="A4" s="22" t="s">
        <v>48</v>
      </c>
      <c r="B4" s="32"/>
      <c r="C4" s="35">
        <v>168.0</v>
      </c>
      <c r="D4" s="35">
        <v>168.0</v>
      </c>
      <c r="E4" s="35">
        <v>168.0</v>
      </c>
      <c r="F4" s="35">
        <v>168.0</v>
      </c>
      <c r="G4" s="35">
        <v>168.0</v>
      </c>
      <c r="H4" s="35">
        <v>168.0</v>
      </c>
      <c r="I4" s="35">
        <v>168.0</v>
      </c>
      <c r="J4" s="35">
        <v>168.0</v>
      </c>
      <c r="K4" s="35">
        <v>168.0</v>
      </c>
      <c r="L4" s="35">
        <v>168.0</v>
      </c>
      <c r="M4" s="35">
        <v>168.0</v>
      </c>
      <c r="N4" s="35">
        <v>168.0</v>
      </c>
      <c r="O4" s="35">
        <v>168.0</v>
      </c>
      <c r="P4" s="35">
        <v>168.0</v>
      </c>
      <c r="Q4" s="35">
        <v>168.0</v>
      </c>
      <c r="R4" s="35">
        <v>168.0</v>
      </c>
      <c r="S4" s="35">
        <v>168.0</v>
      </c>
      <c r="T4" s="35">
        <v>168.0</v>
      </c>
      <c r="U4" s="35">
        <v>168.0</v>
      </c>
      <c r="V4" s="35">
        <v>168.0</v>
      </c>
      <c r="W4" s="35">
        <v>168.0</v>
      </c>
      <c r="X4" s="35">
        <v>168.0</v>
      </c>
      <c r="Y4" s="35">
        <v>168.0</v>
      </c>
      <c r="Z4" s="38">
        <v>20.0</v>
      </c>
      <c r="AA4" s="38">
        <v>20.0</v>
      </c>
      <c r="AB4" s="38">
        <v>20.0</v>
      </c>
      <c r="AC4" s="38">
        <v>20.0</v>
      </c>
      <c r="AD4" s="38">
        <v>20.0</v>
      </c>
      <c r="AE4" s="38">
        <v>20.0</v>
      </c>
      <c r="AF4" s="38">
        <v>20.0</v>
      </c>
      <c r="AG4" s="38">
        <v>20.0</v>
      </c>
      <c r="AH4" s="38">
        <v>20.0</v>
      </c>
      <c r="AI4" s="38">
        <v>20.0</v>
      </c>
      <c r="AJ4" s="38">
        <v>20.0</v>
      </c>
      <c r="AK4" s="38">
        <v>20.0</v>
      </c>
      <c r="AL4" s="47">
        <f t="shared" ref="AL4:AL5" si="2">+SUM(B4:AK4)</f>
        <v>4104</v>
      </c>
      <c r="AM4" s="15"/>
      <c r="AN4" s="48" t="s">
        <v>51</v>
      </c>
      <c r="AO4" s="50">
        <v>50.0</v>
      </c>
    </row>
    <row r="5">
      <c r="A5" s="22" t="s">
        <v>52</v>
      </c>
      <c r="B5" s="51">
        <f t="shared" ref="B5:AK5" si="1">+B4*$AO$4</f>
        <v>0</v>
      </c>
      <c r="C5" s="52">
        <f t="shared" si="1"/>
        <v>8400</v>
      </c>
      <c r="D5" s="52">
        <f t="shared" si="1"/>
        <v>8400</v>
      </c>
      <c r="E5" s="52">
        <f t="shared" si="1"/>
        <v>8400</v>
      </c>
      <c r="F5" s="52">
        <f t="shared" si="1"/>
        <v>8400</v>
      </c>
      <c r="G5" s="52">
        <f t="shared" si="1"/>
        <v>8400</v>
      </c>
      <c r="H5" s="52">
        <f t="shared" si="1"/>
        <v>8400</v>
      </c>
      <c r="I5" s="52">
        <f t="shared" si="1"/>
        <v>8400</v>
      </c>
      <c r="J5" s="52">
        <f t="shared" si="1"/>
        <v>8400</v>
      </c>
      <c r="K5" s="52">
        <f t="shared" si="1"/>
        <v>8400</v>
      </c>
      <c r="L5" s="52">
        <f t="shared" si="1"/>
        <v>8400</v>
      </c>
      <c r="M5" s="52">
        <f t="shared" si="1"/>
        <v>8400</v>
      </c>
      <c r="N5" s="52">
        <f t="shared" si="1"/>
        <v>8400</v>
      </c>
      <c r="O5" s="52">
        <f t="shared" si="1"/>
        <v>8400</v>
      </c>
      <c r="P5" s="52">
        <f t="shared" si="1"/>
        <v>8400</v>
      </c>
      <c r="Q5" s="52">
        <f t="shared" si="1"/>
        <v>8400</v>
      </c>
      <c r="R5" s="52">
        <f t="shared" si="1"/>
        <v>8400</v>
      </c>
      <c r="S5" s="52">
        <f t="shared" si="1"/>
        <v>8400</v>
      </c>
      <c r="T5" s="52">
        <f t="shared" si="1"/>
        <v>8400</v>
      </c>
      <c r="U5" s="52">
        <f t="shared" si="1"/>
        <v>8400</v>
      </c>
      <c r="V5" s="52">
        <f t="shared" si="1"/>
        <v>8400</v>
      </c>
      <c r="W5" s="52">
        <f t="shared" si="1"/>
        <v>8400</v>
      </c>
      <c r="X5" s="52">
        <f t="shared" si="1"/>
        <v>8400</v>
      </c>
      <c r="Y5" s="52">
        <f t="shared" si="1"/>
        <v>8400</v>
      </c>
      <c r="Z5" s="52">
        <f t="shared" si="1"/>
        <v>1000</v>
      </c>
      <c r="AA5" s="52">
        <f t="shared" si="1"/>
        <v>1000</v>
      </c>
      <c r="AB5" s="52">
        <f t="shared" si="1"/>
        <v>1000</v>
      </c>
      <c r="AC5" s="52">
        <f t="shared" si="1"/>
        <v>1000</v>
      </c>
      <c r="AD5" s="52">
        <f t="shared" si="1"/>
        <v>1000</v>
      </c>
      <c r="AE5" s="52">
        <f t="shared" si="1"/>
        <v>1000</v>
      </c>
      <c r="AF5" s="52">
        <f t="shared" si="1"/>
        <v>1000</v>
      </c>
      <c r="AG5" s="52">
        <f t="shared" si="1"/>
        <v>1000</v>
      </c>
      <c r="AH5" s="52">
        <f t="shared" si="1"/>
        <v>1000</v>
      </c>
      <c r="AI5" s="52">
        <f t="shared" si="1"/>
        <v>1000</v>
      </c>
      <c r="AJ5" s="52">
        <f t="shared" si="1"/>
        <v>1000</v>
      </c>
      <c r="AK5" s="58">
        <f t="shared" si="1"/>
        <v>1000</v>
      </c>
      <c r="AL5" s="36">
        <f t="shared" si="2"/>
        <v>205200</v>
      </c>
      <c r="AM5" s="15"/>
      <c r="AN5" s="48" t="s">
        <v>56</v>
      </c>
      <c r="AO5" s="59">
        <v>15.0</v>
      </c>
    </row>
    <row r="6">
      <c r="A6" s="22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8"/>
      <c r="AL6" s="36"/>
      <c r="AM6" s="15"/>
      <c r="AN6" s="48" t="s">
        <v>60</v>
      </c>
      <c r="AO6" s="59">
        <v>15.0</v>
      </c>
    </row>
    <row r="7">
      <c r="A7" s="62" t="s">
        <v>61</v>
      </c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8"/>
      <c r="AL7" s="36"/>
      <c r="AM7" s="15"/>
      <c r="AN7" s="48" t="s">
        <v>63</v>
      </c>
      <c r="AO7" s="59">
        <v>15.0</v>
      </c>
    </row>
    <row r="8">
      <c r="A8" s="22" t="s">
        <v>48</v>
      </c>
      <c r="B8" s="32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67"/>
      <c r="AL8" s="47">
        <f t="shared" ref="AL8:AL9" si="4">+SUM(B8:AK8)</f>
        <v>0</v>
      </c>
      <c r="AM8" s="15"/>
      <c r="AN8" s="48" t="s">
        <v>65</v>
      </c>
      <c r="AO8" s="59">
        <v>15.0</v>
      </c>
    </row>
    <row r="9">
      <c r="A9" s="22" t="s">
        <v>52</v>
      </c>
      <c r="B9" s="51">
        <f t="shared" ref="B9:AK9" si="3">+B8*$AO$5</f>
        <v>0</v>
      </c>
      <c r="C9" s="52">
        <f t="shared" si="3"/>
        <v>0</v>
      </c>
      <c r="D9" s="52">
        <f t="shared" si="3"/>
        <v>0</v>
      </c>
      <c r="E9" s="52">
        <f t="shared" si="3"/>
        <v>0</v>
      </c>
      <c r="F9" s="52">
        <f t="shared" si="3"/>
        <v>0</v>
      </c>
      <c r="G9" s="52">
        <f t="shared" si="3"/>
        <v>0</v>
      </c>
      <c r="H9" s="52">
        <f t="shared" si="3"/>
        <v>0</v>
      </c>
      <c r="I9" s="52">
        <f t="shared" si="3"/>
        <v>0</v>
      </c>
      <c r="J9" s="52">
        <f t="shared" si="3"/>
        <v>0</v>
      </c>
      <c r="K9" s="52">
        <f t="shared" si="3"/>
        <v>0</v>
      </c>
      <c r="L9" s="52">
        <f t="shared" si="3"/>
        <v>0</v>
      </c>
      <c r="M9" s="52">
        <f t="shared" si="3"/>
        <v>0</v>
      </c>
      <c r="N9" s="52">
        <f t="shared" si="3"/>
        <v>0</v>
      </c>
      <c r="O9" s="52">
        <f t="shared" si="3"/>
        <v>0</v>
      </c>
      <c r="P9" s="52">
        <f t="shared" si="3"/>
        <v>0</v>
      </c>
      <c r="Q9" s="52">
        <f t="shared" si="3"/>
        <v>0</v>
      </c>
      <c r="R9" s="52">
        <f t="shared" si="3"/>
        <v>0</v>
      </c>
      <c r="S9" s="52">
        <f t="shared" si="3"/>
        <v>0</v>
      </c>
      <c r="T9" s="52">
        <f t="shared" si="3"/>
        <v>0</v>
      </c>
      <c r="U9" s="52">
        <f t="shared" si="3"/>
        <v>0</v>
      </c>
      <c r="V9" s="52">
        <f t="shared" si="3"/>
        <v>0</v>
      </c>
      <c r="W9" s="52">
        <f t="shared" si="3"/>
        <v>0</v>
      </c>
      <c r="X9" s="52">
        <f t="shared" si="3"/>
        <v>0</v>
      </c>
      <c r="Y9" s="52">
        <f t="shared" si="3"/>
        <v>0</v>
      </c>
      <c r="Z9" s="52">
        <f t="shared" si="3"/>
        <v>0</v>
      </c>
      <c r="AA9" s="52">
        <f t="shared" si="3"/>
        <v>0</v>
      </c>
      <c r="AB9" s="52">
        <f t="shared" si="3"/>
        <v>0</v>
      </c>
      <c r="AC9" s="52">
        <f t="shared" si="3"/>
        <v>0</v>
      </c>
      <c r="AD9" s="52">
        <f t="shared" si="3"/>
        <v>0</v>
      </c>
      <c r="AE9" s="52">
        <f t="shared" si="3"/>
        <v>0</v>
      </c>
      <c r="AF9" s="52">
        <f t="shared" si="3"/>
        <v>0</v>
      </c>
      <c r="AG9" s="52">
        <f t="shared" si="3"/>
        <v>0</v>
      </c>
      <c r="AH9" s="52">
        <f t="shared" si="3"/>
        <v>0</v>
      </c>
      <c r="AI9" s="52">
        <f t="shared" si="3"/>
        <v>0</v>
      </c>
      <c r="AJ9" s="52">
        <f t="shared" si="3"/>
        <v>0</v>
      </c>
      <c r="AK9" s="58">
        <f t="shared" si="3"/>
        <v>0</v>
      </c>
      <c r="AL9" s="36">
        <f t="shared" si="4"/>
        <v>0</v>
      </c>
      <c r="AM9" s="15"/>
      <c r="AN9" s="48" t="s">
        <v>68</v>
      </c>
      <c r="AO9" s="59">
        <v>15.0</v>
      </c>
    </row>
    <row r="10">
      <c r="A10" s="22"/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8"/>
      <c r="AL10" s="36"/>
      <c r="AM10" s="15"/>
      <c r="AN10" s="48" t="s">
        <v>70</v>
      </c>
      <c r="AO10" s="59">
        <v>15.0</v>
      </c>
    </row>
    <row r="11">
      <c r="A11" s="62" t="s">
        <v>71</v>
      </c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8"/>
      <c r="AL11" s="36"/>
      <c r="AM11" s="15"/>
      <c r="AN11" s="48" t="s">
        <v>74</v>
      </c>
      <c r="AO11" s="59">
        <v>15.0</v>
      </c>
    </row>
    <row r="12">
      <c r="A12" s="22" t="s">
        <v>48</v>
      </c>
      <c r="B12" s="32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67"/>
      <c r="AL12" s="47">
        <f t="shared" ref="AL12:AL13" si="6">+SUM(B12:AK12)</f>
        <v>0</v>
      </c>
      <c r="AM12" s="15"/>
      <c r="AN12" s="48" t="s">
        <v>81</v>
      </c>
      <c r="AO12" s="59">
        <v>15.0</v>
      </c>
    </row>
    <row r="13">
      <c r="A13" s="22" t="s">
        <v>52</v>
      </c>
      <c r="B13" s="51">
        <f t="shared" ref="B13:AK13" si="5">+B12*$AO$6</f>
        <v>0</v>
      </c>
      <c r="C13" s="52">
        <f t="shared" si="5"/>
        <v>0</v>
      </c>
      <c r="D13" s="52">
        <f t="shared" si="5"/>
        <v>0</v>
      </c>
      <c r="E13" s="52">
        <f t="shared" si="5"/>
        <v>0</v>
      </c>
      <c r="F13" s="52">
        <f t="shared" si="5"/>
        <v>0</v>
      </c>
      <c r="G13" s="52">
        <f t="shared" si="5"/>
        <v>0</v>
      </c>
      <c r="H13" s="52">
        <f t="shared" si="5"/>
        <v>0</v>
      </c>
      <c r="I13" s="52">
        <f t="shared" si="5"/>
        <v>0</v>
      </c>
      <c r="J13" s="52">
        <f t="shared" si="5"/>
        <v>0</v>
      </c>
      <c r="K13" s="52">
        <f t="shared" si="5"/>
        <v>0</v>
      </c>
      <c r="L13" s="52">
        <f t="shared" si="5"/>
        <v>0</v>
      </c>
      <c r="M13" s="52">
        <f t="shared" si="5"/>
        <v>0</v>
      </c>
      <c r="N13" s="52">
        <f t="shared" si="5"/>
        <v>0</v>
      </c>
      <c r="O13" s="52">
        <f t="shared" si="5"/>
        <v>0</v>
      </c>
      <c r="P13" s="52">
        <f t="shared" si="5"/>
        <v>0</v>
      </c>
      <c r="Q13" s="52">
        <f t="shared" si="5"/>
        <v>0</v>
      </c>
      <c r="R13" s="52">
        <f t="shared" si="5"/>
        <v>0</v>
      </c>
      <c r="S13" s="52">
        <f t="shared" si="5"/>
        <v>0</v>
      </c>
      <c r="T13" s="52">
        <f t="shared" si="5"/>
        <v>0</v>
      </c>
      <c r="U13" s="52">
        <f t="shared" si="5"/>
        <v>0</v>
      </c>
      <c r="V13" s="52">
        <f t="shared" si="5"/>
        <v>0</v>
      </c>
      <c r="W13" s="52">
        <f t="shared" si="5"/>
        <v>0</v>
      </c>
      <c r="X13" s="52">
        <f t="shared" si="5"/>
        <v>0</v>
      </c>
      <c r="Y13" s="52">
        <f t="shared" si="5"/>
        <v>0</v>
      </c>
      <c r="Z13" s="52">
        <f t="shared" si="5"/>
        <v>0</v>
      </c>
      <c r="AA13" s="52">
        <f t="shared" si="5"/>
        <v>0</v>
      </c>
      <c r="AB13" s="52">
        <f t="shared" si="5"/>
        <v>0</v>
      </c>
      <c r="AC13" s="52">
        <f t="shared" si="5"/>
        <v>0</v>
      </c>
      <c r="AD13" s="52">
        <f t="shared" si="5"/>
        <v>0</v>
      </c>
      <c r="AE13" s="52">
        <f t="shared" si="5"/>
        <v>0</v>
      </c>
      <c r="AF13" s="52">
        <f t="shared" si="5"/>
        <v>0</v>
      </c>
      <c r="AG13" s="52">
        <f t="shared" si="5"/>
        <v>0</v>
      </c>
      <c r="AH13" s="52">
        <f t="shared" si="5"/>
        <v>0</v>
      </c>
      <c r="AI13" s="52">
        <f t="shared" si="5"/>
        <v>0</v>
      </c>
      <c r="AJ13" s="52">
        <f t="shared" si="5"/>
        <v>0</v>
      </c>
      <c r="AK13" s="58">
        <f t="shared" si="5"/>
        <v>0</v>
      </c>
      <c r="AL13" s="36">
        <f t="shared" si="6"/>
        <v>0</v>
      </c>
      <c r="AM13" s="15"/>
      <c r="AN13" s="48" t="s">
        <v>85</v>
      </c>
      <c r="AO13" s="59">
        <v>15.0</v>
      </c>
    </row>
    <row r="14">
      <c r="A14" s="22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8"/>
      <c r="AL14" s="36"/>
      <c r="AM14" s="15"/>
      <c r="AN14" s="48" t="s">
        <v>86</v>
      </c>
      <c r="AO14" s="59">
        <v>15.0</v>
      </c>
    </row>
    <row r="15">
      <c r="A15" s="62" t="s">
        <v>87</v>
      </c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8"/>
      <c r="AL15" s="36"/>
      <c r="AM15" s="15"/>
      <c r="AN15" s="90" t="s">
        <v>89</v>
      </c>
      <c r="AO15" s="91">
        <v>15.0</v>
      </c>
    </row>
    <row r="16">
      <c r="A16" s="22" t="s">
        <v>48</v>
      </c>
      <c r="B16" s="32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67"/>
      <c r="AL16" s="47">
        <f t="shared" ref="AL16:AL17" si="8">+SUM(B16:AK16)</f>
        <v>0</v>
      </c>
      <c r="AM16" s="15"/>
      <c r="AN16" s="15"/>
      <c r="AO16" s="15"/>
    </row>
    <row r="17">
      <c r="A17" s="22" t="s">
        <v>52</v>
      </c>
      <c r="B17" s="51">
        <f t="shared" ref="B17:AK17" si="7">+B16*$AO$7</f>
        <v>0</v>
      </c>
      <c r="C17" s="52">
        <f t="shared" si="7"/>
        <v>0</v>
      </c>
      <c r="D17" s="52">
        <f t="shared" si="7"/>
        <v>0</v>
      </c>
      <c r="E17" s="52">
        <f t="shared" si="7"/>
        <v>0</v>
      </c>
      <c r="F17" s="52">
        <f t="shared" si="7"/>
        <v>0</v>
      </c>
      <c r="G17" s="52">
        <f t="shared" si="7"/>
        <v>0</v>
      </c>
      <c r="H17" s="52">
        <f t="shared" si="7"/>
        <v>0</v>
      </c>
      <c r="I17" s="52">
        <f t="shared" si="7"/>
        <v>0</v>
      </c>
      <c r="J17" s="52">
        <f t="shared" si="7"/>
        <v>0</v>
      </c>
      <c r="K17" s="52">
        <f t="shared" si="7"/>
        <v>0</v>
      </c>
      <c r="L17" s="52">
        <f t="shared" si="7"/>
        <v>0</v>
      </c>
      <c r="M17" s="52">
        <f t="shared" si="7"/>
        <v>0</v>
      </c>
      <c r="N17" s="52">
        <f t="shared" si="7"/>
        <v>0</v>
      </c>
      <c r="O17" s="52">
        <f t="shared" si="7"/>
        <v>0</v>
      </c>
      <c r="P17" s="52">
        <f t="shared" si="7"/>
        <v>0</v>
      </c>
      <c r="Q17" s="52">
        <f t="shared" si="7"/>
        <v>0</v>
      </c>
      <c r="R17" s="52">
        <f t="shared" si="7"/>
        <v>0</v>
      </c>
      <c r="S17" s="52">
        <f t="shared" si="7"/>
        <v>0</v>
      </c>
      <c r="T17" s="52">
        <f t="shared" si="7"/>
        <v>0</v>
      </c>
      <c r="U17" s="52">
        <f t="shared" si="7"/>
        <v>0</v>
      </c>
      <c r="V17" s="52">
        <f t="shared" si="7"/>
        <v>0</v>
      </c>
      <c r="W17" s="52">
        <f t="shared" si="7"/>
        <v>0</v>
      </c>
      <c r="X17" s="52">
        <f t="shared" si="7"/>
        <v>0</v>
      </c>
      <c r="Y17" s="52">
        <f t="shared" si="7"/>
        <v>0</v>
      </c>
      <c r="Z17" s="52">
        <f t="shared" si="7"/>
        <v>0</v>
      </c>
      <c r="AA17" s="52">
        <f t="shared" si="7"/>
        <v>0</v>
      </c>
      <c r="AB17" s="52">
        <f t="shared" si="7"/>
        <v>0</v>
      </c>
      <c r="AC17" s="52">
        <f t="shared" si="7"/>
        <v>0</v>
      </c>
      <c r="AD17" s="52">
        <f t="shared" si="7"/>
        <v>0</v>
      </c>
      <c r="AE17" s="52">
        <f t="shared" si="7"/>
        <v>0</v>
      </c>
      <c r="AF17" s="52">
        <f t="shared" si="7"/>
        <v>0</v>
      </c>
      <c r="AG17" s="52">
        <f t="shared" si="7"/>
        <v>0</v>
      </c>
      <c r="AH17" s="52">
        <f t="shared" si="7"/>
        <v>0</v>
      </c>
      <c r="AI17" s="52">
        <f t="shared" si="7"/>
        <v>0</v>
      </c>
      <c r="AJ17" s="52">
        <f t="shared" si="7"/>
        <v>0</v>
      </c>
      <c r="AK17" s="58">
        <f t="shared" si="7"/>
        <v>0</v>
      </c>
      <c r="AL17" s="36">
        <f t="shared" si="8"/>
        <v>0</v>
      </c>
      <c r="AM17" s="15"/>
      <c r="AN17" s="15"/>
      <c r="AO17" s="15"/>
    </row>
    <row r="18">
      <c r="A18" s="22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8"/>
      <c r="AL18" s="36"/>
      <c r="AM18" s="15"/>
      <c r="AN18" s="15"/>
      <c r="AO18" s="15"/>
    </row>
    <row r="19">
      <c r="A19" s="62" t="s">
        <v>96</v>
      </c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8"/>
      <c r="AL19" s="36"/>
      <c r="AM19" s="15"/>
      <c r="AN19" s="15"/>
      <c r="AO19" s="15"/>
    </row>
    <row r="20">
      <c r="A20" s="22" t="s">
        <v>48</v>
      </c>
      <c r="B20" s="32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67"/>
      <c r="AL20" s="47">
        <f t="shared" ref="AL20:AL21" si="10">+SUM(B20:AK20)</f>
        <v>0</v>
      </c>
      <c r="AM20" s="15"/>
      <c r="AN20" s="15"/>
      <c r="AO20" s="15"/>
    </row>
    <row r="21" ht="15.75" customHeight="1">
      <c r="A21" s="22" t="s">
        <v>52</v>
      </c>
      <c r="B21" s="51">
        <f t="shared" ref="B21:AK21" si="9">+B20*$AO$8</f>
        <v>0</v>
      </c>
      <c r="C21" s="52">
        <f t="shared" si="9"/>
        <v>0</v>
      </c>
      <c r="D21" s="52">
        <f t="shared" si="9"/>
        <v>0</v>
      </c>
      <c r="E21" s="52">
        <f t="shared" si="9"/>
        <v>0</v>
      </c>
      <c r="F21" s="52">
        <f t="shared" si="9"/>
        <v>0</v>
      </c>
      <c r="G21" s="52">
        <f t="shared" si="9"/>
        <v>0</v>
      </c>
      <c r="H21" s="52">
        <f t="shared" si="9"/>
        <v>0</v>
      </c>
      <c r="I21" s="52">
        <f t="shared" si="9"/>
        <v>0</v>
      </c>
      <c r="J21" s="52">
        <f t="shared" si="9"/>
        <v>0</v>
      </c>
      <c r="K21" s="52">
        <f t="shared" si="9"/>
        <v>0</v>
      </c>
      <c r="L21" s="52">
        <f t="shared" si="9"/>
        <v>0</v>
      </c>
      <c r="M21" s="52">
        <f t="shared" si="9"/>
        <v>0</v>
      </c>
      <c r="N21" s="52">
        <f t="shared" si="9"/>
        <v>0</v>
      </c>
      <c r="O21" s="52">
        <f t="shared" si="9"/>
        <v>0</v>
      </c>
      <c r="P21" s="52">
        <f t="shared" si="9"/>
        <v>0</v>
      </c>
      <c r="Q21" s="52">
        <f t="shared" si="9"/>
        <v>0</v>
      </c>
      <c r="R21" s="52">
        <f t="shared" si="9"/>
        <v>0</v>
      </c>
      <c r="S21" s="52">
        <f t="shared" si="9"/>
        <v>0</v>
      </c>
      <c r="T21" s="52">
        <f t="shared" si="9"/>
        <v>0</v>
      </c>
      <c r="U21" s="52">
        <f t="shared" si="9"/>
        <v>0</v>
      </c>
      <c r="V21" s="52">
        <f t="shared" si="9"/>
        <v>0</v>
      </c>
      <c r="W21" s="52">
        <f t="shared" si="9"/>
        <v>0</v>
      </c>
      <c r="X21" s="52">
        <f t="shared" si="9"/>
        <v>0</v>
      </c>
      <c r="Y21" s="52">
        <f t="shared" si="9"/>
        <v>0</v>
      </c>
      <c r="Z21" s="52">
        <f t="shared" si="9"/>
        <v>0</v>
      </c>
      <c r="AA21" s="52">
        <f t="shared" si="9"/>
        <v>0</v>
      </c>
      <c r="AB21" s="52">
        <f t="shared" si="9"/>
        <v>0</v>
      </c>
      <c r="AC21" s="52">
        <f t="shared" si="9"/>
        <v>0</v>
      </c>
      <c r="AD21" s="52">
        <f t="shared" si="9"/>
        <v>0</v>
      </c>
      <c r="AE21" s="52">
        <f t="shared" si="9"/>
        <v>0</v>
      </c>
      <c r="AF21" s="52">
        <f t="shared" si="9"/>
        <v>0</v>
      </c>
      <c r="AG21" s="52">
        <f t="shared" si="9"/>
        <v>0</v>
      </c>
      <c r="AH21" s="52">
        <f t="shared" si="9"/>
        <v>0</v>
      </c>
      <c r="AI21" s="52">
        <f t="shared" si="9"/>
        <v>0</v>
      </c>
      <c r="AJ21" s="52">
        <f t="shared" si="9"/>
        <v>0</v>
      </c>
      <c r="AK21" s="58">
        <f t="shared" si="9"/>
        <v>0</v>
      </c>
      <c r="AL21" s="36">
        <f t="shared" si="10"/>
        <v>0</v>
      </c>
      <c r="AM21" s="15"/>
      <c r="AN21" s="15"/>
      <c r="AO21" s="15"/>
    </row>
    <row r="22" ht="15.75" customHeight="1">
      <c r="A22" s="22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8"/>
      <c r="AL22" s="36"/>
      <c r="AM22" s="15"/>
      <c r="AN22" s="15"/>
      <c r="AO22" s="15"/>
    </row>
    <row r="23" ht="15.75" customHeight="1">
      <c r="A23" s="62" t="s">
        <v>102</v>
      </c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8"/>
      <c r="AL23" s="36"/>
      <c r="AM23" s="15"/>
      <c r="AN23" s="15"/>
      <c r="AO23" s="15"/>
    </row>
    <row r="24" ht="15.75" customHeight="1">
      <c r="A24" s="22" t="s">
        <v>48</v>
      </c>
      <c r="B24" s="32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67"/>
      <c r="AL24" s="47">
        <f t="shared" ref="AL24:AL25" si="12">+SUM(B24:AK24)</f>
        <v>0</v>
      </c>
      <c r="AM24" s="15"/>
      <c r="AN24" s="15"/>
      <c r="AO24" s="15"/>
    </row>
    <row r="25" ht="15.75" customHeight="1">
      <c r="A25" s="22" t="s">
        <v>52</v>
      </c>
      <c r="B25" s="51">
        <f t="shared" ref="B25:AK25" si="11">+B24*$AO$9</f>
        <v>0</v>
      </c>
      <c r="C25" s="52">
        <f t="shared" si="11"/>
        <v>0</v>
      </c>
      <c r="D25" s="52">
        <f t="shared" si="11"/>
        <v>0</v>
      </c>
      <c r="E25" s="52">
        <f t="shared" si="11"/>
        <v>0</v>
      </c>
      <c r="F25" s="52">
        <f t="shared" si="11"/>
        <v>0</v>
      </c>
      <c r="G25" s="52">
        <f t="shared" si="11"/>
        <v>0</v>
      </c>
      <c r="H25" s="52">
        <f t="shared" si="11"/>
        <v>0</v>
      </c>
      <c r="I25" s="52">
        <f t="shared" si="11"/>
        <v>0</v>
      </c>
      <c r="J25" s="52">
        <f t="shared" si="11"/>
        <v>0</v>
      </c>
      <c r="K25" s="52">
        <f t="shared" si="11"/>
        <v>0</v>
      </c>
      <c r="L25" s="52">
        <f t="shared" si="11"/>
        <v>0</v>
      </c>
      <c r="M25" s="52">
        <f t="shared" si="11"/>
        <v>0</v>
      </c>
      <c r="N25" s="52">
        <f t="shared" si="11"/>
        <v>0</v>
      </c>
      <c r="O25" s="52">
        <f t="shared" si="11"/>
        <v>0</v>
      </c>
      <c r="P25" s="52">
        <f t="shared" si="11"/>
        <v>0</v>
      </c>
      <c r="Q25" s="52">
        <f t="shared" si="11"/>
        <v>0</v>
      </c>
      <c r="R25" s="52">
        <f t="shared" si="11"/>
        <v>0</v>
      </c>
      <c r="S25" s="52">
        <f t="shared" si="11"/>
        <v>0</v>
      </c>
      <c r="T25" s="52">
        <f t="shared" si="11"/>
        <v>0</v>
      </c>
      <c r="U25" s="52">
        <f t="shared" si="11"/>
        <v>0</v>
      </c>
      <c r="V25" s="52">
        <f t="shared" si="11"/>
        <v>0</v>
      </c>
      <c r="W25" s="52">
        <f t="shared" si="11"/>
        <v>0</v>
      </c>
      <c r="X25" s="52">
        <f t="shared" si="11"/>
        <v>0</v>
      </c>
      <c r="Y25" s="52">
        <f t="shared" si="11"/>
        <v>0</v>
      </c>
      <c r="Z25" s="52">
        <f t="shared" si="11"/>
        <v>0</v>
      </c>
      <c r="AA25" s="52">
        <f t="shared" si="11"/>
        <v>0</v>
      </c>
      <c r="AB25" s="52">
        <f t="shared" si="11"/>
        <v>0</v>
      </c>
      <c r="AC25" s="52">
        <f t="shared" si="11"/>
        <v>0</v>
      </c>
      <c r="AD25" s="52">
        <f t="shared" si="11"/>
        <v>0</v>
      </c>
      <c r="AE25" s="52">
        <f t="shared" si="11"/>
        <v>0</v>
      </c>
      <c r="AF25" s="52">
        <f t="shared" si="11"/>
        <v>0</v>
      </c>
      <c r="AG25" s="52">
        <f t="shared" si="11"/>
        <v>0</v>
      </c>
      <c r="AH25" s="52">
        <f t="shared" si="11"/>
        <v>0</v>
      </c>
      <c r="AI25" s="52">
        <f t="shared" si="11"/>
        <v>0</v>
      </c>
      <c r="AJ25" s="52">
        <f t="shared" si="11"/>
        <v>0</v>
      </c>
      <c r="AK25" s="58">
        <f t="shared" si="11"/>
        <v>0</v>
      </c>
      <c r="AL25" s="36">
        <f t="shared" si="12"/>
        <v>0</v>
      </c>
      <c r="AM25" s="15"/>
      <c r="AN25" s="15"/>
      <c r="AO25" s="15"/>
    </row>
    <row r="26" ht="15.75" customHeight="1">
      <c r="A26" s="22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8"/>
      <c r="AL26" s="36"/>
      <c r="AM26" s="15"/>
      <c r="AN26" s="15"/>
      <c r="AO26" s="15"/>
    </row>
    <row r="27" ht="15.75" customHeight="1">
      <c r="A27" s="62" t="s">
        <v>105</v>
      </c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8"/>
      <c r="AL27" s="36"/>
      <c r="AM27" s="15"/>
      <c r="AN27" s="15"/>
      <c r="AO27" s="15"/>
    </row>
    <row r="28" ht="15.75" customHeight="1">
      <c r="A28" s="22" t="s">
        <v>48</v>
      </c>
      <c r="B28" s="32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67"/>
      <c r="AL28" s="47">
        <f t="shared" ref="AL28:AL29" si="14">+SUM(B28:AK28)</f>
        <v>0</v>
      </c>
      <c r="AM28" s="15"/>
      <c r="AN28" s="15"/>
      <c r="AO28" s="15"/>
    </row>
    <row r="29" ht="15.75" customHeight="1">
      <c r="A29" s="22" t="s">
        <v>52</v>
      </c>
      <c r="B29" s="51">
        <f t="shared" ref="B29:AK29" si="13">+B28*$AO$10</f>
        <v>0</v>
      </c>
      <c r="C29" s="52">
        <f t="shared" si="13"/>
        <v>0</v>
      </c>
      <c r="D29" s="52">
        <f t="shared" si="13"/>
        <v>0</v>
      </c>
      <c r="E29" s="52">
        <f t="shared" si="13"/>
        <v>0</v>
      </c>
      <c r="F29" s="52">
        <f t="shared" si="13"/>
        <v>0</v>
      </c>
      <c r="G29" s="52">
        <f t="shared" si="13"/>
        <v>0</v>
      </c>
      <c r="H29" s="52">
        <f t="shared" si="13"/>
        <v>0</v>
      </c>
      <c r="I29" s="52">
        <f t="shared" si="13"/>
        <v>0</v>
      </c>
      <c r="J29" s="52">
        <f t="shared" si="13"/>
        <v>0</v>
      </c>
      <c r="K29" s="52">
        <f t="shared" si="13"/>
        <v>0</v>
      </c>
      <c r="L29" s="52">
        <f t="shared" si="13"/>
        <v>0</v>
      </c>
      <c r="M29" s="52">
        <f t="shared" si="13"/>
        <v>0</v>
      </c>
      <c r="N29" s="52">
        <f t="shared" si="13"/>
        <v>0</v>
      </c>
      <c r="O29" s="52">
        <f t="shared" si="13"/>
        <v>0</v>
      </c>
      <c r="P29" s="52">
        <f t="shared" si="13"/>
        <v>0</v>
      </c>
      <c r="Q29" s="52">
        <f t="shared" si="13"/>
        <v>0</v>
      </c>
      <c r="R29" s="52">
        <f t="shared" si="13"/>
        <v>0</v>
      </c>
      <c r="S29" s="52">
        <f t="shared" si="13"/>
        <v>0</v>
      </c>
      <c r="T29" s="52">
        <f t="shared" si="13"/>
        <v>0</v>
      </c>
      <c r="U29" s="52">
        <f t="shared" si="13"/>
        <v>0</v>
      </c>
      <c r="V29" s="52">
        <f t="shared" si="13"/>
        <v>0</v>
      </c>
      <c r="W29" s="52">
        <f t="shared" si="13"/>
        <v>0</v>
      </c>
      <c r="X29" s="52">
        <f t="shared" si="13"/>
        <v>0</v>
      </c>
      <c r="Y29" s="52">
        <f t="shared" si="13"/>
        <v>0</v>
      </c>
      <c r="Z29" s="52">
        <f t="shared" si="13"/>
        <v>0</v>
      </c>
      <c r="AA29" s="52">
        <f t="shared" si="13"/>
        <v>0</v>
      </c>
      <c r="AB29" s="52">
        <f t="shared" si="13"/>
        <v>0</v>
      </c>
      <c r="AC29" s="52">
        <f t="shared" si="13"/>
        <v>0</v>
      </c>
      <c r="AD29" s="52">
        <f t="shared" si="13"/>
        <v>0</v>
      </c>
      <c r="AE29" s="52">
        <f t="shared" si="13"/>
        <v>0</v>
      </c>
      <c r="AF29" s="52">
        <f t="shared" si="13"/>
        <v>0</v>
      </c>
      <c r="AG29" s="52">
        <f t="shared" si="13"/>
        <v>0</v>
      </c>
      <c r="AH29" s="52">
        <f t="shared" si="13"/>
        <v>0</v>
      </c>
      <c r="AI29" s="52">
        <f t="shared" si="13"/>
        <v>0</v>
      </c>
      <c r="AJ29" s="52">
        <f t="shared" si="13"/>
        <v>0</v>
      </c>
      <c r="AK29" s="58">
        <f t="shared" si="13"/>
        <v>0</v>
      </c>
      <c r="AL29" s="36">
        <f t="shared" si="14"/>
        <v>0</v>
      </c>
      <c r="AM29" s="15"/>
      <c r="AN29" s="15"/>
      <c r="AO29" s="15"/>
    </row>
    <row r="30" ht="15.75" customHeight="1">
      <c r="A30" s="22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8"/>
      <c r="AL30" s="47"/>
      <c r="AM30" s="15"/>
      <c r="AN30" s="15"/>
      <c r="AO30" s="15"/>
    </row>
    <row r="31" ht="15.75" customHeight="1">
      <c r="A31" s="62" t="s">
        <v>109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8"/>
      <c r="AL31" s="47"/>
      <c r="AM31" s="15"/>
      <c r="AN31" s="15"/>
      <c r="AO31" s="15"/>
    </row>
    <row r="32" ht="15.75" customHeight="1">
      <c r="A32" s="22" t="s">
        <v>48</v>
      </c>
      <c r="B32" s="32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67"/>
      <c r="AL32" s="47">
        <f t="shared" ref="AL32:AL33" si="16">+SUM(B32:AK32)</f>
        <v>0</v>
      </c>
      <c r="AM32" s="15"/>
      <c r="AN32" s="15"/>
      <c r="AO32" s="15"/>
    </row>
    <row r="33" ht="15.75" customHeight="1">
      <c r="A33" s="22" t="s">
        <v>52</v>
      </c>
      <c r="B33" s="51">
        <f t="shared" ref="B33:AK33" si="15">+B32*$AO$11</f>
        <v>0</v>
      </c>
      <c r="C33" s="52">
        <f t="shared" si="15"/>
        <v>0</v>
      </c>
      <c r="D33" s="52">
        <f t="shared" si="15"/>
        <v>0</v>
      </c>
      <c r="E33" s="52">
        <f t="shared" si="15"/>
        <v>0</v>
      </c>
      <c r="F33" s="52">
        <f t="shared" si="15"/>
        <v>0</v>
      </c>
      <c r="G33" s="52">
        <f t="shared" si="15"/>
        <v>0</v>
      </c>
      <c r="H33" s="52">
        <f t="shared" si="15"/>
        <v>0</v>
      </c>
      <c r="I33" s="52">
        <f t="shared" si="15"/>
        <v>0</v>
      </c>
      <c r="J33" s="52">
        <f t="shared" si="15"/>
        <v>0</v>
      </c>
      <c r="K33" s="52">
        <f t="shared" si="15"/>
        <v>0</v>
      </c>
      <c r="L33" s="52">
        <f t="shared" si="15"/>
        <v>0</v>
      </c>
      <c r="M33" s="52">
        <f t="shared" si="15"/>
        <v>0</v>
      </c>
      <c r="N33" s="52">
        <f t="shared" si="15"/>
        <v>0</v>
      </c>
      <c r="O33" s="52">
        <f t="shared" si="15"/>
        <v>0</v>
      </c>
      <c r="P33" s="52">
        <f t="shared" si="15"/>
        <v>0</v>
      </c>
      <c r="Q33" s="52">
        <f t="shared" si="15"/>
        <v>0</v>
      </c>
      <c r="R33" s="52">
        <f t="shared" si="15"/>
        <v>0</v>
      </c>
      <c r="S33" s="52">
        <f t="shared" si="15"/>
        <v>0</v>
      </c>
      <c r="T33" s="52">
        <f t="shared" si="15"/>
        <v>0</v>
      </c>
      <c r="U33" s="52">
        <f t="shared" si="15"/>
        <v>0</v>
      </c>
      <c r="V33" s="52">
        <f t="shared" si="15"/>
        <v>0</v>
      </c>
      <c r="W33" s="52">
        <f t="shared" si="15"/>
        <v>0</v>
      </c>
      <c r="X33" s="52">
        <f t="shared" si="15"/>
        <v>0</v>
      </c>
      <c r="Y33" s="52">
        <f t="shared" si="15"/>
        <v>0</v>
      </c>
      <c r="Z33" s="52">
        <f t="shared" si="15"/>
        <v>0</v>
      </c>
      <c r="AA33" s="52">
        <f t="shared" si="15"/>
        <v>0</v>
      </c>
      <c r="AB33" s="52">
        <f t="shared" si="15"/>
        <v>0</v>
      </c>
      <c r="AC33" s="52">
        <f t="shared" si="15"/>
        <v>0</v>
      </c>
      <c r="AD33" s="52">
        <f t="shared" si="15"/>
        <v>0</v>
      </c>
      <c r="AE33" s="52">
        <f t="shared" si="15"/>
        <v>0</v>
      </c>
      <c r="AF33" s="52">
        <f t="shared" si="15"/>
        <v>0</v>
      </c>
      <c r="AG33" s="52">
        <f t="shared" si="15"/>
        <v>0</v>
      </c>
      <c r="AH33" s="52">
        <f t="shared" si="15"/>
        <v>0</v>
      </c>
      <c r="AI33" s="52">
        <f t="shared" si="15"/>
        <v>0</v>
      </c>
      <c r="AJ33" s="52">
        <f t="shared" si="15"/>
        <v>0</v>
      </c>
      <c r="AK33" s="58">
        <f t="shared" si="15"/>
        <v>0</v>
      </c>
      <c r="AL33" s="36">
        <f t="shared" si="16"/>
        <v>0</v>
      </c>
      <c r="AM33" s="15"/>
      <c r="AN33" s="15"/>
      <c r="AO33" s="15"/>
    </row>
    <row r="34" ht="15.75" customHeight="1">
      <c r="A34" s="22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8"/>
      <c r="AL34" s="36"/>
      <c r="AM34" s="15"/>
      <c r="AN34" s="15"/>
      <c r="AO34" s="15"/>
    </row>
    <row r="35" ht="15.75" customHeight="1">
      <c r="A35" s="62" t="s">
        <v>115</v>
      </c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8"/>
      <c r="AL35" s="36"/>
      <c r="AM35" s="15"/>
      <c r="AN35" s="15"/>
      <c r="AO35" s="15"/>
    </row>
    <row r="36" ht="15.75" customHeight="1">
      <c r="A36" s="22" t="s">
        <v>48</v>
      </c>
      <c r="B36" s="32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67"/>
      <c r="AL36" s="47">
        <f t="shared" ref="AL36:AL37" si="18">+SUM(B36:AK36)</f>
        <v>0</v>
      </c>
      <c r="AM36" s="15"/>
      <c r="AN36" s="15"/>
      <c r="AO36" s="15"/>
    </row>
    <row r="37" ht="15.75" customHeight="1">
      <c r="A37" s="22" t="s">
        <v>52</v>
      </c>
      <c r="B37" s="51">
        <f t="shared" ref="B37:AK37" si="17">+B36*$AO$12</f>
        <v>0</v>
      </c>
      <c r="C37" s="52">
        <f t="shared" si="17"/>
        <v>0</v>
      </c>
      <c r="D37" s="52">
        <f t="shared" si="17"/>
        <v>0</v>
      </c>
      <c r="E37" s="52">
        <f t="shared" si="17"/>
        <v>0</v>
      </c>
      <c r="F37" s="52">
        <f t="shared" si="17"/>
        <v>0</v>
      </c>
      <c r="G37" s="52">
        <f t="shared" si="17"/>
        <v>0</v>
      </c>
      <c r="H37" s="52">
        <f t="shared" si="17"/>
        <v>0</v>
      </c>
      <c r="I37" s="52">
        <f t="shared" si="17"/>
        <v>0</v>
      </c>
      <c r="J37" s="52">
        <f t="shared" si="17"/>
        <v>0</v>
      </c>
      <c r="K37" s="52">
        <f t="shared" si="17"/>
        <v>0</v>
      </c>
      <c r="L37" s="52">
        <f t="shared" si="17"/>
        <v>0</v>
      </c>
      <c r="M37" s="52">
        <f t="shared" si="17"/>
        <v>0</v>
      </c>
      <c r="N37" s="52">
        <f t="shared" si="17"/>
        <v>0</v>
      </c>
      <c r="O37" s="52">
        <f t="shared" si="17"/>
        <v>0</v>
      </c>
      <c r="P37" s="52">
        <f t="shared" si="17"/>
        <v>0</v>
      </c>
      <c r="Q37" s="52">
        <f t="shared" si="17"/>
        <v>0</v>
      </c>
      <c r="R37" s="52">
        <f t="shared" si="17"/>
        <v>0</v>
      </c>
      <c r="S37" s="52">
        <f t="shared" si="17"/>
        <v>0</v>
      </c>
      <c r="T37" s="52">
        <f t="shared" si="17"/>
        <v>0</v>
      </c>
      <c r="U37" s="52">
        <f t="shared" si="17"/>
        <v>0</v>
      </c>
      <c r="V37" s="52">
        <f t="shared" si="17"/>
        <v>0</v>
      </c>
      <c r="W37" s="52">
        <f t="shared" si="17"/>
        <v>0</v>
      </c>
      <c r="X37" s="52">
        <f t="shared" si="17"/>
        <v>0</v>
      </c>
      <c r="Y37" s="52">
        <f t="shared" si="17"/>
        <v>0</v>
      </c>
      <c r="Z37" s="52">
        <f t="shared" si="17"/>
        <v>0</v>
      </c>
      <c r="AA37" s="52">
        <f t="shared" si="17"/>
        <v>0</v>
      </c>
      <c r="AB37" s="52">
        <f t="shared" si="17"/>
        <v>0</v>
      </c>
      <c r="AC37" s="52">
        <f t="shared" si="17"/>
        <v>0</v>
      </c>
      <c r="AD37" s="52">
        <f t="shared" si="17"/>
        <v>0</v>
      </c>
      <c r="AE37" s="52">
        <f t="shared" si="17"/>
        <v>0</v>
      </c>
      <c r="AF37" s="52">
        <f t="shared" si="17"/>
        <v>0</v>
      </c>
      <c r="AG37" s="52">
        <f t="shared" si="17"/>
        <v>0</v>
      </c>
      <c r="AH37" s="52">
        <f t="shared" si="17"/>
        <v>0</v>
      </c>
      <c r="AI37" s="52">
        <f t="shared" si="17"/>
        <v>0</v>
      </c>
      <c r="AJ37" s="52">
        <f t="shared" si="17"/>
        <v>0</v>
      </c>
      <c r="AK37" s="58">
        <f t="shared" si="17"/>
        <v>0</v>
      </c>
      <c r="AL37" s="36">
        <f t="shared" si="18"/>
        <v>0</v>
      </c>
      <c r="AM37" s="15"/>
      <c r="AN37" s="15"/>
      <c r="AO37" s="15"/>
    </row>
    <row r="38" ht="15.75" customHeight="1">
      <c r="A38" s="22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8"/>
      <c r="AL38" s="36"/>
      <c r="AM38" s="15"/>
      <c r="AN38" s="15"/>
      <c r="AO38" s="15"/>
    </row>
    <row r="39" ht="15.75" customHeight="1">
      <c r="A39" s="62" t="s">
        <v>118</v>
      </c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8"/>
      <c r="AL39" s="36"/>
      <c r="AM39" s="15"/>
      <c r="AN39" s="15"/>
      <c r="AO39" s="15"/>
    </row>
    <row r="40" ht="15.75" customHeight="1">
      <c r="A40" s="22" t="s">
        <v>48</v>
      </c>
      <c r="B40" s="32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67"/>
      <c r="AL40" s="47">
        <f t="shared" ref="AL40:AL41" si="20">+SUM(B40:AK40)</f>
        <v>0</v>
      </c>
      <c r="AM40" s="15"/>
      <c r="AN40" s="15"/>
      <c r="AO40" s="15"/>
    </row>
    <row r="41" ht="15.75" customHeight="1">
      <c r="A41" s="22" t="s">
        <v>52</v>
      </c>
      <c r="B41" s="51">
        <f t="shared" ref="B41:AK41" si="19">+B40*$AO$13</f>
        <v>0</v>
      </c>
      <c r="C41" s="52">
        <f t="shared" si="19"/>
        <v>0</v>
      </c>
      <c r="D41" s="52">
        <f t="shared" si="19"/>
        <v>0</v>
      </c>
      <c r="E41" s="52">
        <f t="shared" si="19"/>
        <v>0</v>
      </c>
      <c r="F41" s="52">
        <f t="shared" si="19"/>
        <v>0</v>
      </c>
      <c r="G41" s="52">
        <f t="shared" si="19"/>
        <v>0</v>
      </c>
      <c r="H41" s="52">
        <f t="shared" si="19"/>
        <v>0</v>
      </c>
      <c r="I41" s="52">
        <f t="shared" si="19"/>
        <v>0</v>
      </c>
      <c r="J41" s="52">
        <f t="shared" si="19"/>
        <v>0</v>
      </c>
      <c r="K41" s="52">
        <f t="shared" si="19"/>
        <v>0</v>
      </c>
      <c r="L41" s="52">
        <f t="shared" si="19"/>
        <v>0</v>
      </c>
      <c r="M41" s="52">
        <f t="shared" si="19"/>
        <v>0</v>
      </c>
      <c r="N41" s="52">
        <f t="shared" si="19"/>
        <v>0</v>
      </c>
      <c r="O41" s="52">
        <f t="shared" si="19"/>
        <v>0</v>
      </c>
      <c r="P41" s="52">
        <f t="shared" si="19"/>
        <v>0</v>
      </c>
      <c r="Q41" s="52">
        <f t="shared" si="19"/>
        <v>0</v>
      </c>
      <c r="R41" s="52">
        <f t="shared" si="19"/>
        <v>0</v>
      </c>
      <c r="S41" s="52">
        <f t="shared" si="19"/>
        <v>0</v>
      </c>
      <c r="T41" s="52">
        <f t="shared" si="19"/>
        <v>0</v>
      </c>
      <c r="U41" s="52">
        <f t="shared" si="19"/>
        <v>0</v>
      </c>
      <c r="V41" s="52">
        <f t="shared" si="19"/>
        <v>0</v>
      </c>
      <c r="W41" s="52">
        <f t="shared" si="19"/>
        <v>0</v>
      </c>
      <c r="X41" s="52">
        <f t="shared" si="19"/>
        <v>0</v>
      </c>
      <c r="Y41" s="52">
        <f t="shared" si="19"/>
        <v>0</v>
      </c>
      <c r="Z41" s="52">
        <f t="shared" si="19"/>
        <v>0</v>
      </c>
      <c r="AA41" s="52">
        <f t="shared" si="19"/>
        <v>0</v>
      </c>
      <c r="AB41" s="52">
        <f t="shared" si="19"/>
        <v>0</v>
      </c>
      <c r="AC41" s="52">
        <f t="shared" si="19"/>
        <v>0</v>
      </c>
      <c r="AD41" s="52">
        <f t="shared" si="19"/>
        <v>0</v>
      </c>
      <c r="AE41" s="52">
        <f t="shared" si="19"/>
        <v>0</v>
      </c>
      <c r="AF41" s="52">
        <f t="shared" si="19"/>
        <v>0</v>
      </c>
      <c r="AG41" s="52">
        <f t="shared" si="19"/>
        <v>0</v>
      </c>
      <c r="AH41" s="52">
        <f t="shared" si="19"/>
        <v>0</v>
      </c>
      <c r="AI41" s="52">
        <f t="shared" si="19"/>
        <v>0</v>
      </c>
      <c r="AJ41" s="52">
        <f t="shared" si="19"/>
        <v>0</v>
      </c>
      <c r="AK41" s="58">
        <f t="shared" si="19"/>
        <v>0</v>
      </c>
      <c r="AL41" s="36">
        <f t="shared" si="20"/>
        <v>0</v>
      </c>
      <c r="AM41" s="15"/>
      <c r="AN41" s="15"/>
      <c r="AO41" s="15"/>
    </row>
    <row r="42" ht="15.75" customHeight="1">
      <c r="A42" s="22"/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8"/>
      <c r="AL42" s="36"/>
      <c r="AM42" s="15"/>
      <c r="AN42" s="15"/>
      <c r="AO42" s="15"/>
    </row>
    <row r="43" ht="15.75" customHeight="1">
      <c r="A43" s="62" t="s">
        <v>120</v>
      </c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8"/>
      <c r="AL43" s="36"/>
      <c r="AM43" s="15"/>
      <c r="AN43" s="15"/>
      <c r="AO43" s="15"/>
    </row>
    <row r="44" ht="15.75" customHeight="1">
      <c r="A44" s="22" t="s">
        <v>48</v>
      </c>
      <c r="B44" s="32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67"/>
      <c r="AL44" s="47">
        <f t="shared" ref="AL44:AL45" si="22">+SUM(B44:AK44)</f>
        <v>0</v>
      </c>
      <c r="AM44" s="15"/>
      <c r="AN44" s="15"/>
      <c r="AO44" s="15"/>
    </row>
    <row r="45" ht="15.75" customHeight="1">
      <c r="A45" s="22" t="s">
        <v>52</v>
      </c>
      <c r="B45" s="105">
        <f t="shared" ref="B45:AK45" si="21">+B44*$AO$14</f>
        <v>0</v>
      </c>
      <c r="C45" s="106">
        <f t="shared" si="21"/>
        <v>0</v>
      </c>
      <c r="D45" s="106">
        <f t="shared" si="21"/>
        <v>0</v>
      </c>
      <c r="E45" s="106">
        <f t="shared" si="21"/>
        <v>0</v>
      </c>
      <c r="F45" s="106">
        <f t="shared" si="21"/>
        <v>0</v>
      </c>
      <c r="G45" s="106">
        <f t="shared" si="21"/>
        <v>0</v>
      </c>
      <c r="H45" s="106">
        <f t="shared" si="21"/>
        <v>0</v>
      </c>
      <c r="I45" s="106">
        <f t="shared" si="21"/>
        <v>0</v>
      </c>
      <c r="J45" s="106">
        <f t="shared" si="21"/>
        <v>0</v>
      </c>
      <c r="K45" s="106">
        <f t="shared" si="21"/>
        <v>0</v>
      </c>
      <c r="L45" s="106">
        <f t="shared" si="21"/>
        <v>0</v>
      </c>
      <c r="M45" s="106">
        <f t="shared" si="21"/>
        <v>0</v>
      </c>
      <c r="N45" s="106">
        <f t="shared" si="21"/>
        <v>0</v>
      </c>
      <c r="O45" s="106">
        <f t="shared" si="21"/>
        <v>0</v>
      </c>
      <c r="P45" s="106">
        <f t="shared" si="21"/>
        <v>0</v>
      </c>
      <c r="Q45" s="106">
        <f t="shared" si="21"/>
        <v>0</v>
      </c>
      <c r="R45" s="106">
        <f t="shared" si="21"/>
        <v>0</v>
      </c>
      <c r="S45" s="106">
        <f t="shared" si="21"/>
        <v>0</v>
      </c>
      <c r="T45" s="106">
        <f t="shared" si="21"/>
        <v>0</v>
      </c>
      <c r="U45" s="106">
        <f t="shared" si="21"/>
        <v>0</v>
      </c>
      <c r="V45" s="106">
        <f t="shared" si="21"/>
        <v>0</v>
      </c>
      <c r="W45" s="106">
        <f t="shared" si="21"/>
        <v>0</v>
      </c>
      <c r="X45" s="106">
        <f t="shared" si="21"/>
        <v>0</v>
      </c>
      <c r="Y45" s="106">
        <f t="shared" si="21"/>
        <v>0</v>
      </c>
      <c r="Z45" s="106">
        <f t="shared" si="21"/>
        <v>0</v>
      </c>
      <c r="AA45" s="106">
        <f t="shared" si="21"/>
        <v>0</v>
      </c>
      <c r="AB45" s="106">
        <f t="shared" si="21"/>
        <v>0</v>
      </c>
      <c r="AC45" s="106">
        <f t="shared" si="21"/>
        <v>0</v>
      </c>
      <c r="AD45" s="106">
        <f t="shared" si="21"/>
        <v>0</v>
      </c>
      <c r="AE45" s="106">
        <f t="shared" si="21"/>
        <v>0</v>
      </c>
      <c r="AF45" s="106">
        <f t="shared" si="21"/>
        <v>0</v>
      </c>
      <c r="AG45" s="106">
        <f t="shared" si="21"/>
        <v>0</v>
      </c>
      <c r="AH45" s="106">
        <f t="shared" si="21"/>
        <v>0</v>
      </c>
      <c r="AI45" s="106">
        <f t="shared" si="21"/>
        <v>0</v>
      </c>
      <c r="AJ45" s="106">
        <f t="shared" si="21"/>
        <v>0</v>
      </c>
      <c r="AK45" s="107">
        <f t="shared" si="21"/>
        <v>0</v>
      </c>
      <c r="AL45" s="36">
        <f t="shared" si="22"/>
        <v>0</v>
      </c>
      <c r="AM45" s="15"/>
      <c r="AN45" s="15"/>
      <c r="AO45" s="15"/>
    </row>
    <row r="46" ht="15.75" customHeight="1">
      <c r="A46" s="22"/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8"/>
      <c r="AL46" s="47"/>
      <c r="AM46" s="15"/>
      <c r="AN46" s="15"/>
      <c r="AO46" s="15"/>
    </row>
    <row r="47" ht="15.75" customHeight="1">
      <c r="A47" s="62" t="s">
        <v>121</v>
      </c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8"/>
      <c r="AL47" s="47"/>
      <c r="AM47" s="15"/>
      <c r="AN47" s="15"/>
      <c r="AO47" s="15"/>
    </row>
    <row r="48" ht="15.75" customHeight="1">
      <c r="A48" s="22" t="s">
        <v>48</v>
      </c>
      <c r="B48" s="32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67"/>
      <c r="AL48" s="47">
        <f t="shared" ref="AL48:AL50" si="24">+SUM(B48:AK48)</f>
        <v>0</v>
      </c>
      <c r="AM48" s="15"/>
      <c r="AN48" s="15"/>
      <c r="AO48" s="15"/>
    </row>
    <row r="49" ht="15.75" customHeight="1">
      <c r="A49" s="22" t="s">
        <v>52</v>
      </c>
      <c r="B49" s="105">
        <f t="shared" ref="B49:AK49" si="23">+B48*$AO$15</f>
        <v>0</v>
      </c>
      <c r="C49" s="106">
        <f t="shared" si="23"/>
        <v>0</v>
      </c>
      <c r="D49" s="106">
        <f t="shared" si="23"/>
        <v>0</v>
      </c>
      <c r="E49" s="106">
        <f t="shared" si="23"/>
        <v>0</v>
      </c>
      <c r="F49" s="106">
        <f t="shared" si="23"/>
        <v>0</v>
      </c>
      <c r="G49" s="106">
        <f t="shared" si="23"/>
        <v>0</v>
      </c>
      <c r="H49" s="106">
        <f t="shared" si="23"/>
        <v>0</v>
      </c>
      <c r="I49" s="106">
        <f t="shared" si="23"/>
        <v>0</v>
      </c>
      <c r="J49" s="106">
        <f t="shared" si="23"/>
        <v>0</v>
      </c>
      <c r="K49" s="106">
        <f t="shared" si="23"/>
        <v>0</v>
      </c>
      <c r="L49" s="106">
        <f t="shared" si="23"/>
        <v>0</v>
      </c>
      <c r="M49" s="106">
        <f t="shared" si="23"/>
        <v>0</v>
      </c>
      <c r="N49" s="106">
        <f t="shared" si="23"/>
        <v>0</v>
      </c>
      <c r="O49" s="106">
        <f t="shared" si="23"/>
        <v>0</v>
      </c>
      <c r="P49" s="106">
        <f t="shared" si="23"/>
        <v>0</v>
      </c>
      <c r="Q49" s="106">
        <f t="shared" si="23"/>
        <v>0</v>
      </c>
      <c r="R49" s="106">
        <f t="shared" si="23"/>
        <v>0</v>
      </c>
      <c r="S49" s="106">
        <f t="shared" si="23"/>
        <v>0</v>
      </c>
      <c r="T49" s="106">
        <f t="shared" si="23"/>
        <v>0</v>
      </c>
      <c r="U49" s="106">
        <f t="shared" si="23"/>
        <v>0</v>
      </c>
      <c r="V49" s="106">
        <f t="shared" si="23"/>
        <v>0</v>
      </c>
      <c r="W49" s="106">
        <f t="shared" si="23"/>
        <v>0</v>
      </c>
      <c r="X49" s="106">
        <f t="shared" si="23"/>
        <v>0</v>
      </c>
      <c r="Y49" s="106">
        <f t="shared" si="23"/>
        <v>0</v>
      </c>
      <c r="Z49" s="106">
        <f t="shared" si="23"/>
        <v>0</v>
      </c>
      <c r="AA49" s="106">
        <f t="shared" si="23"/>
        <v>0</v>
      </c>
      <c r="AB49" s="106">
        <f t="shared" si="23"/>
        <v>0</v>
      </c>
      <c r="AC49" s="106">
        <f t="shared" si="23"/>
        <v>0</v>
      </c>
      <c r="AD49" s="106">
        <f t="shared" si="23"/>
        <v>0</v>
      </c>
      <c r="AE49" s="106">
        <f t="shared" si="23"/>
        <v>0</v>
      </c>
      <c r="AF49" s="106">
        <f t="shared" si="23"/>
        <v>0</v>
      </c>
      <c r="AG49" s="106">
        <f t="shared" si="23"/>
        <v>0</v>
      </c>
      <c r="AH49" s="106">
        <f t="shared" si="23"/>
        <v>0</v>
      </c>
      <c r="AI49" s="106">
        <f t="shared" si="23"/>
        <v>0</v>
      </c>
      <c r="AJ49" s="106">
        <f t="shared" si="23"/>
        <v>0</v>
      </c>
      <c r="AK49" s="107">
        <f t="shared" si="23"/>
        <v>0</v>
      </c>
      <c r="AL49" s="36">
        <f t="shared" si="24"/>
        <v>0</v>
      </c>
      <c r="AM49" s="15"/>
      <c r="AN49" s="15"/>
      <c r="AO49" s="15"/>
    </row>
    <row r="50" ht="15.75" customHeight="1">
      <c r="A50" s="76" t="s">
        <v>124</v>
      </c>
      <c r="B50" s="78">
        <f t="shared" ref="B50:AK50" si="25">+B5+B9+B13+B17+B21+B25+B29+B33+B37+B41+B45+B49</f>
        <v>0</v>
      </c>
      <c r="C50" s="114">
        <f t="shared" si="25"/>
        <v>8400</v>
      </c>
      <c r="D50" s="114">
        <f t="shared" si="25"/>
        <v>8400</v>
      </c>
      <c r="E50" s="114">
        <f t="shared" si="25"/>
        <v>8400</v>
      </c>
      <c r="F50" s="114">
        <f t="shared" si="25"/>
        <v>8400</v>
      </c>
      <c r="G50" s="114">
        <f t="shared" si="25"/>
        <v>8400</v>
      </c>
      <c r="H50" s="114">
        <f t="shared" si="25"/>
        <v>8400</v>
      </c>
      <c r="I50" s="114">
        <f t="shared" si="25"/>
        <v>8400</v>
      </c>
      <c r="J50" s="114">
        <f t="shared" si="25"/>
        <v>8400</v>
      </c>
      <c r="K50" s="114">
        <f t="shared" si="25"/>
        <v>8400</v>
      </c>
      <c r="L50" s="114">
        <f t="shared" si="25"/>
        <v>8400</v>
      </c>
      <c r="M50" s="114">
        <f t="shared" si="25"/>
        <v>8400</v>
      </c>
      <c r="N50" s="114">
        <f t="shared" si="25"/>
        <v>8400</v>
      </c>
      <c r="O50" s="114">
        <f t="shared" si="25"/>
        <v>8400</v>
      </c>
      <c r="P50" s="114">
        <f t="shared" si="25"/>
        <v>8400</v>
      </c>
      <c r="Q50" s="114">
        <f t="shared" si="25"/>
        <v>8400</v>
      </c>
      <c r="R50" s="114">
        <f t="shared" si="25"/>
        <v>8400</v>
      </c>
      <c r="S50" s="114">
        <f t="shared" si="25"/>
        <v>8400</v>
      </c>
      <c r="T50" s="114">
        <f t="shared" si="25"/>
        <v>8400</v>
      </c>
      <c r="U50" s="114">
        <f t="shared" si="25"/>
        <v>8400</v>
      </c>
      <c r="V50" s="114">
        <f t="shared" si="25"/>
        <v>8400</v>
      </c>
      <c r="W50" s="114">
        <f t="shared" si="25"/>
        <v>8400</v>
      </c>
      <c r="X50" s="114">
        <f t="shared" si="25"/>
        <v>8400</v>
      </c>
      <c r="Y50" s="114">
        <f t="shared" si="25"/>
        <v>8400</v>
      </c>
      <c r="Z50" s="114">
        <f t="shared" si="25"/>
        <v>1000</v>
      </c>
      <c r="AA50" s="114">
        <f t="shared" si="25"/>
        <v>1000</v>
      </c>
      <c r="AB50" s="114">
        <f t="shared" si="25"/>
        <v>1000</v>
      </c>
      <c r="AC50" s="114">
        <f t="shared" si="25"/>
        <v>1000</v>
      </c>
      <c r="AD50" s="114">
        <f t="shared" si="25"/>
        <v>1000</v>
      </c>
      <c r="AE50" s="114">
        <f t="shared" si="25"/>
        <v>1000</v>
      </c>
      <c r="AF50" s="114">
        <f t="shared" si="25"/>
        <v>1000</v>
      </c>
      <c r="AG50" s="114">
        <f t="shared" si="25"/>
        <v>1000</v>
      </c>
      <c r="AH50" s="114">
        <f t="shared" si="25"/>
        <v>1000</v>
      </c>
      <c r="AI50" s="114">
        <f t="shared" si="25"/>
        <v>1000</v>
      </c>
      <c r="AJ50" s="114">
        <f t="shared" si="25"/>
        <v>1000</v>
      </c>
      <c r="AK50" s="116">
        <f t="shared" si="25"/>
        <v>1000</v>
      </c>
      <c r="AL50" s="79">
        <f t="shared" si="24"/>
        <v>205200</v>
      </c>
      <c r="AM50" s="15"/>
      <c r="AN50" s="15"/>
      <c r="AO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</row>
  </sheetData>
  <printOptions/>
  <pageMargins bottom="0.75" footer="0.0" header="0.0" left="0.7" right="0.7" top="0.75"/>
  <pageSetup scale="6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0"/>
    <col customWidth="1" min="2" max="2" width="12.43"/>
    <col customWidth="1" min="3" max="37" width="11.71"/>
    <col customWidth="1" min="38" max="38" width="12.43"/>
  </cols>
  <sheetData>
    <row r="1">
      <c r="A1" s="1" t="s">
        <v>0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8"/>
      <c r="AL1" s="10"/>
    </row>
    <row r="2">
      <c r="A2" s="12"/>
      <c r="B2" s="13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14" t="s">
        <v>27</v>
      </c>
      <c r="AA2" s="14" t="s">
        <v>28</v>
      </c>
      <c r="AB2" s="14" t="s">
        <v>29</v>
      </c>
      <c r="AC2" s="14" t="s">
        <v>30</v>
      </c>
      <c r="AD2" s="14" t="s">
        <v>31</v>
      </c>
      <c r="AE2" s="14" t="s">
        <v>32</v>
      </c>
      <c r="AF2" s="14" t="s">
        <v>33</v>
      </c>
      <c r="AG2" s="14" t="s">
        <v>34</v>
      </c>
      <c r="AH2" s="14" t="s">
        <v>35</v>
      </c>
      <c r="AI2" s="14" t="s">
        <v>36</v>
      </c>
      <c r="AJ2" s="14" t="s">
        <v>37</v>
      </c>
      <c r="AK2" s="20" t="s">
        <v>38</v>
      </c>
      <c r="AL2" s="12"/>
    </row>
    <row r="3">
      <c r="A3" s="22" t="s">
        <v>43</v>
      </c>
      <c r="B3" s="24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33"/>
      <c r="AL3" s="36">
        <f t="shared" ref="AL3:AL4" si="1">+SUM(B3:AK3)</f>
        <v>0</v>
      </c>
    </row>
    <row r="4">
      <c r="A4" s="22" t="s">
        <v>49</v>
      </c>
      <c r="B4" s="37">
        <v>500000.0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9"/>
      <c r="AL4" s="36">
        <f t="shared" si="1"/>
        <v>500000</v>
      </c>
    </row>
    <row r="5">
      <c r="A5" s="22" t="s">
        <v>53</v>
      </c>
      <c r="B5" s="37">
        <v>900000.0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9"/>
      <c r="AL5" s="36"/>
    </row>
    <row r="6">
      <c r="A6" s="22"/>
      <c r="B6" s="55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9"/>
      <c r="AL6" s="36"/>
    </row>
    <row r="7">
      <c r="A7" s="22" t="s">
        <v>43</v>
      </c>
      <c r="B7" s="55">
        <v>10000.0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49"/>
      <c r="AL7" s="36">
        <f t="shared" ref="AL7:AL10" si="2">+SUM(B7:AK7)</f>
        <v>10000</v>
      </c>
    </row>
    <row r="8">
      <c r="A8" s="22" t="s">
        <v>59</v>
      </c>
      <c r="B8" s="55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49"/>
      <c r="AL8" s="36">
        <f t="shared" si="2"/>
        <v>0</v>
      </c>
    </row>
    <row r="9">
      <c r="A9" s="22" t="s">
        <v>59</v>
      </c>
      <c r="B9" s="55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49"/>
      <c r="AL9" s="36">
        <f t="shared" si="2"/>
        <v>0</v>
      </c>
    </row>
    <row r="10">
      <c r="A10" s="10" t="s">
        <v>66</v>
      </c>
      <c r="B10" s="69">
        <f t="shared" ref="B10:AK10" si="3">+SUM(B3:B9)</f>
        <v>1410000</v>
      </c>
      <c r="C10" s="70">
        <f t="shared" si="3"/>
        <v>0</v>
      </c>
      <c r="D10" s="70">
        <f t="shared" si="3"/>
        <v>0</v>
      </c>
      <c r="E10" s="70">
        <f t="shared" si="3"/>
        <v>0</v>
      </c>
      <c r="F10" s="70">
        <f t="shared" si="3"/>
        <v>0</v>
      </c>
      <c r="G10" s="70">
        <f t="shared" si="3"/>
        <v>0</v>
      </c>
      <c r="H10" s="70">
        <f t="shared" si="3"/>
        <v>0</v>
      </c>
      <c r="I10" s="70">
        <f t="shared" si="3"/>
        <v>0</v>
      </c>
      <c r="J10" s="70">
        <f t="shared" si="3"/>
        <v>0</v>
      </c>
      <c r="K10" s="70">
        <f t="shared" si="3"/>
        <v>0</v>
      </c>
      <c r="L10" s="70">
        <f t="shared" si="3"/>
        <v>0</v>
      </c>
      <c r="M10" s="70">
        <f t="shared" si="3"/>
        <v>0</v>
      </c>
      <c r="N10" s="70">
        <f t="shared" si="3"/>
        <v>0</v>
      </c>
      <c r="O10" s="70">
        <f t="shared" si="3"/>
        <v>0</v>
      </c>
      <c r="P10" s="70">
        <f t="shared" si="3"/>
        <v>0</v>
      </c>
      <c r="Q10" s="70">
        <f t="shared" si="3"/>
        <v>0</v>
      </c>
      <c r="R10" s="70">
        <f t="shared" si="3"/>
        <v>0</v>
      </c>
      <c r="S10" s="70">
        <f t="shared" si="3"/>
        <v>0</v>
      </c>
      <c r="T10" s="70">
        <f t="shared" si="3"/>
        <v>0</v>
      </c>
      <c r="U10" s="70">
        <f t="shared" si="3"/>
        <v>0</v>
      </c>
      <c r="V10" s="70">
        <f t="shared" si="3"/>
        <v>0</v>
      </c>
      <c r="W10" s="70">
        <f t="shared" si="3"/>
        <v>0</v>
      </c>
      <c r="X10" s="70">
        <f t="shared" si="3"/>
        <v>0</v>
      </c>
      <c r="Y10" s="70">
        <f t="shared" si="3"/>
        <v>0</v>
      </c>
      <c r="Z10" s="70">
        <f t="shared" si="3"/>
        <v>0</v>
      </c>
      <c r="AA10" s="70">
        <f t="shared" si="3"/>
        <v>0</v>
      </c>
      <c r="AB10" s="70">
        <f t="shared" si="3"/>
        <v>0</v>
      </c>
      <c r="AC10" s="70">
        <f t="shared" si="3"/>
        <v>0</v>
      </c>
      <c r="AD10" s="70">
        <f t="shared" si="3"/>
        <v>0</v>
      </c>
      <c r="AE10" s="70">
        <f t="shared" si="3"/>
        <v>0</v>
      </c>
      <c r="AF10" s="70">
        <f t="shared" si="3"/>
        <v>0</v>
      </c>
      <c r="AG10" s="70">
        <f t="shared" si="3"/>
        <v>0</v>
      </c>
      <c r="AH10" s="70">
        <f t="shared" si="3"/>
        <v>0</v>
      </c>
      <c r="AI10" s="70">
        <f t="shared" si="3"/>
        <v>0</v>
      </c>
      <c r="AJ10" s="70">
        <f t="shared" si="3"/>
        <v>0</v>
      </c>
      <c r="AK10" s="73">
        <f t="shared" si="3"/>
        <v>0</v>
      </c>
      <c r="AL10" s="74">
        <f t="shared" si="2"/>
        <v>1410000</v>
      </c>
    </row>
    <row r="11">
      <c r="A11" s="12"/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8"/>
      <c r="AL11" s="36"/>
    </row>
    <row r="12">
      <c r="A12" s="76" t="s">
        <v>69</v>
      </c>
      <c r="B12" s="78">
        <f t="shared" ref="B12:AK12" si="4">+SUM($B$10:B10)/468</f>
        <v>3012.820513</v>
      </c>
      <c r="C12" s="78">
        <f t="shared" si="4"/>
        <v>3012.820513</v>
      </c>
      <c r="D12" s="78">
        <f t="shared" si="4"/>
        <v>3012.820513</v>
      </c>
      <c r="E12" s="78">
        <f t="shared" si="4"/>
        <v>3012.820513</v>
      </c>
      <c r="F12" s="78">
        <f t="shared" si="4"/>
        <v>3012.820513</v>
      </c>
      <c r="G12" s="78">
        <f t="shared" si="4"/>
        <v>3012.820513</v>
      </c>
      <c r="H12" s="78">
        <f t="shared" si="4"/>
        <v>3012.820513</v>
      </c>
      <c r="I12" s="78">
        <f t="shared" si="4"/>
        <v>3012.820513</v>
      </c>
      <c r="J12" s="78">
        <f t="shared" si="4"/>
        <v>3012.820513</v>
      </c>
      <c r="K12" s="78">
        <f t="shared" si="4"/>
        <v>3012.820513</v>
      </c>
      <c r="L12" s="78">
        <f t="shared" si="4"/>
        <v>3012.820513</v>
      </c>
      <c r="M12" s="78">
        <f t="shared" si="4"/>
        <v>3012.820513</v>
      </c>
      <c r="N12" s="78">
        <f t="shared" si="4"/>
        <v>3012.820513</v>
      </c>
      <c r="O12" s="78">
        <f t="shared" si="4"/>
        <v>3012.820513</v>
      </c>
      <c r="P12" s="78">
        <f t="shared" si="4"/>
        <v>3012.820513</v>
      </c>
      <c r="Q12" s="78">
        <f t="shared" si="4"/>
        <v>3012.820513</v>
      </c>
      <c r="R12" s="78">
        <f t="shared" si="4"/>
        <v>3012.820513</v>
      </c>
      <c r="S12" s="78">
        <f t="shared" si="4"/>
        <v>3012.820513</v>
      </c>
      <c r="T12" s="78">
        <f t="shared" si="4"/>
        <v>3012.820513</v>
      </c>
      <c r="U12" s="78">
        <f t="shared" si="4"/>
        <v>3012.820513</v>
      </c>
      <c r="V12" s="78">
        <f t="shared" si="4"/>
        <v>3012.820513</v>
      </c>
      <c r="W12" s="78">
        <f t="shared" si="4"/>
        <v>3012.820513</v>
      </c>
      <c r="X12" s="78">
        <f t="shared" si="4"/>
        <v>3012.820513</v>
      </c>
      <c r="Y12" s="78">
        <f t="shared" si="4"/>
        <v>3012.820513</v>
      </c>
      <c r="Z12" s="78">
        <f t="shared" si="4"/>
        <v>3012.820513</v>
      </c>
      <c r="AA12" s="78">
        <f t="shared" si="4"/>
        <v>3012.820513</v>
      </c>
      <c r="AB12" s="78">
        <f t="shared" si="4"/>
        <v>3012.820513</v>
      </c>
      <c r="AC12" s="78">
        <f t="shared" si="4"/>
        <v>3012.820513</v>
      </c>
      <c r="AD12" s="78">
        <f t="shared" si="4"/>
        <v>3012.820513</v>
      </c>
      <c r="AE12" s="78">
        <f t="shared" si="4"/>
        <v>3012.820513</v>
      </c>
      <c r="AF12" s="78">
        <f t="shared" si="4"/>
        <v>3012.820513</v>
      </c>
      <c r="AG12" s="78">
        <f t="shared" si="4"/>
        <v>3012.820513</v>
      </c>
      <c r="AH12" s="78">
        <f t="shared" si="4"/>
        <v>3012.820513</v>
      </c>
      <c r="AI12" s="78">
        <f t="shared" si="4"/>
        <v>3012.820513</v>
      </c>
      <c r="AJ12" s="78">
        <f t="shared" si="4"/>
        <v>3012.820513</v>
      </c>
      <c r="AK12" s="78">
        <f t="shared" si="4"/>
        <v>3012.820513</v>
      </c>
      <c r="AL12" s="79">
        <f>+SUM(B12:AK12)</f>
        <v>108461.5385</v>
      </c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>
      <c r="A15" s="15"/>
      <c r="B15" s="15"/>
      <c r="C15" s="15"/>
      <c r="D15" s="15">
        <f>39*12</f>
        <v>468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</row>
  </sheetData>
  <printOptions/>
  <pageMargins bottom="0.75" footer="0.0" header="0.0" left="0.7" right="0.7" top="0.75"/>
  <pageSetup scale="67" orientation="landscape"/>
  <drawing r:id="rId1"/>
</worksheet>
</file>